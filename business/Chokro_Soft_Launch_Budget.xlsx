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 Launch Budget" sheetId="1" state="visible" r:id="rId3"/>
    <sheet name="Ba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<sst xmlns="http://schemas.openxmlformats.org/spreadsheetml/2006/main" count="187" uniqueCount="116">
  <si>
    <t xml:space="preserve">Chokro — Soft Launch Budget</t>
  </si>
  <si>
    <t xml:space="preserve">← expert budget, USD</t>
  </si>
  <si>
    <t xml:space="preserve">Soft launch 30 September 2026  ·  every figure below was supplied by Arnish in chat, 2 September 2026  ·  all amounts BDT unless marked</t>
  </si>
  <si>
    <t xml:space="preserve">Item</t>
  </si>
  <si>
    <t xml:space="preserve">Period</t>
  </si>
  <si>
    <t xml:space="preserve">Low (BDT)</t>
  </si>
  <si>
    <t xml:space="preserve">High (BDT)</t>
  </si>
  <si>
    <t xml:space="preserve">As supplied</t>
  </si>
  <si>
    <t xml:space="preserve">CATEGORY 1 — BUSINESS REGISTRATION</t>
  </si>
  <si>
    <t xml:space="preserve">DNCC Trade License Fee (Category 253)</t>
  </si>
  <si>
    <t xml:space="preserve">Annual</t>
  </si>
  <si>
    <t xml:space="preserve">Annual license fee</t>
  </si>
  <si>
    <t xml:space="preserve">Signboard Tax</t>
  </si>
  <si>
    <t xml:space="preserve">If applicable</t>
  </si>
  <si>
    <t xml:space="preserve">VAT on fees</t>
  </si>
  <si>
    <t xml:space="preserve">Government VAT component</t>
  </si>
  <si>
    <t xml:space="preserve">Tax / Source Tax</t>
  </si>
  <si>
    <t xml:space="preserve">Depends on applicable rules</t>
  </si>
  <si>
    <t xml:space="preserve">License Book / Form / Processing</t>
  </si>
  <si>
    <t xml:space="preserve">One-time</t>
  </si>
  <si>
    <t xml:space="preserve">Approximate — supplied as a range</t>
  </si>
  <si>
    <t xml:space="preserve">Documentation &amp; photocopy</t>
  </si>
  <si>
    <t xml:space="preserve">Practical expense — supplied as a range</t>
  </si>
  <si>
    <t xml:space="preserve">Subtotal — registration</t>
  </si>
  <si>
    <t xml:space="preserve">CATEGORY 2 — TECHNOLOGY</t>
  </si>
  <si>
    <t xml:space="preserve">Google Play developer account</t>
  </si>
  <si>
    <t xml:space="preserve">$25 one-time</t>
  </si>
  <si>
    <t xml:space="preserve">Apple Developer Program</t>
  </si>
  <si>
    <t xml:space="preserve">$99 per year</t>
  </si>
  <si>
    <t xml:space="preserve">.com domain</t>
  </si>
  <si>
    <t xml:space="preserve">Per year</t>
  </si>
  <si>
    <t xml:space="preserve">.com.bd domain</t>
  </si>
  <si>
    <t xml:space="preserve">Image hosting — Cloudinary plan</t>
  </si>
  <si>
    <t xml:space="preserve">Monthly</t>
  </si>
  <si>
    <t xml:space="preserve">Storage + bandwidth + derivations</t>
  </si>
  <si>
    <t xml:space="preserve">AI screening — Groq vision</t>
  </si>
  <si>
    <t xml:space="preserve">One call per disposal and per claim</t>
  </si>
  <si>
    <t xml:space="preserve">App server — Node service</t>
  </si>
  <si>
    <t xml:space="preserve">Always-on instance(s)</t>
  </si>
  <si>
    <t xml:space="preserve">Error monitoring — Sentry Team</t>
  </si>
  <si>
    <t xml:space="preserve">Team tier</t>
  </si>
  <si>
    <t xml:space="preserve">Subtotal — technology (as listed, mixed periods)</t>
  </si>
  <si>
    <t xml:space="preserve">This subtotal is NOT spendable as one figure — it adds a one-time fee, four annual fees and four monthly charges. The roll-up below separates them.</t>
  </si>
  <si>
    <t xml:space="preserve">CATEGORY 3 — HIRED EXPERTISE</t>
  </si>
  <si>
    <t xml:space="preserve">Manual Review Operator</t>
  </si>
  <si>
    <t xml:space="preserve">Part of the $400</t>
  </si>
  <si>
    <t xml:space="preserve">UI/UX</t>
  </si>
  <si>
    <t xml:space="preserve">QA Engineer — including verifying that unauthenticated script access actually fails</t>
  </si>
  <si>
    <t xml:space="preserve">Security Assurance</t>
  </si>
  <si>
    <t xml:space="preserve">Total paid to hired experts</t>
  </si>
  <si>
    <t xml:space="preserve">$400 in total across all four roles above</t>
  </si>
  <si>
    <t xml:space="preserve">Subtotal — hired expertise</t>
  </si>
  <si>
    <t xml:space="preserve">ROLL-UP BY PERIOD</t>
  </si>
  <si>
    <t xml:space="preserve">One-time total</t>
  </si>
  <si>
    <t xml:space="preserve">Play account, licence book/form, documentation, and the whole expert budget.</t>
  </si>
  <si>
    <t xml:space="preserve">Annual total — per year</t>
  </si>
  <si>
    <t xml:space="preserve">Trade licence, signboard tax, VAT, source tax, Apple Developer, both domains. These renew.</t>
  </si>
  <si>
    <t xml:space="preserve">Monthly total — per month</t>
  </si>
  <si>
    <t xml:space="preserve">Cloudinary, Groq screening, app server, Sentry. These recur every month.</t>
  </si>
  <si>
    <t xml:space="preserve">SOFT LAUNCH BUDGET  —  one-time + first year's annual fees + 1 month of running cost</t>
  </si>
  <si>
    <t xml:space="preserve">What it costs to get to 30 September 2026 and run the first month.</t>
  </si>
  <si>
    <t xml:space="preserve">   same figure in USD</t>
  </si>
  <si>
    <t xml:space="preserve">First twelve months</t>
  </si>
  <si>
    <t xml:space="preserve">One-time plus one year of annual fees plus twelve months of running cost.</t>
  </si>
  <si>
    <t xml:space="preserve">Low and High differ only because two registration rows were supplied as ranges (licence book/form ৳270–500, documentation ৳200–500). Everything else is a single supplied figure.</t>
  </si>
  <si>
    <t xml:space="preserve">Basis</t>
  </si>
  <si>
    <t xml:space="preserve">Where every figure came from, and the one classification decision made on top of them.</t>
  </si>
  <si>
    <t xml:space="preserve">Exchange rate</t>
  </si>
  <si>
    <t xml:space="preserve">Driver</t>
  </si>
  <si>
    <t xml:space="preserve">Value</t>
  </si>
  <si>
    <t xml:space="preserve">USD / BDT</t>
  </si>
  <si>
    <t xml:space="preserve">Not an outside figure — it is implied by Arnish's own numbers. Google Play $25 → ৳3,080 and Apple Developer $99 → ৳12,198 both give 123.2. Used only to convert the $400 expert budget into taka and to show USD equivalents.</t>
  </si>
  <si>
    <t xml:space="preserve">The one thing added on top of the supplied data</t>
  </si>
  <si>
    <t xml:space="preserve">Period classification</t>
  </si>
  <si>
    <t xml:space="preserve">The figures were supplied in one list without periods. They have been sorted into ONE-TIME, ANNUAL and MONTHLY, because adding them as a flat list gives ৳38,971 for technology when the true first-year technology cost is about eight times that. No amount was changed. Cloudinary, Groq, the app server and Sentry are all monthly vendor charges; the trade licence, signboard tax and both domains renew annually.</t>
  </si>
  <si>
    <t xml:space="preserve">Every figure, as supplied</t>
  </si>
  <si>
    <t xml:space="preserve">Figure</t>
  </si>
  <si>
    <t xml:space="preserve">Period used</t>
  </si>
  <si>
    <t xml:space="preserve">Note</t>
  </si>
  <si>
    <t xml:space="preserve">৳2,000</t>
  </si>
  <si>
    <t xml:space="preserve">Arnish's own note: "Annual license fee".</t>
  </si>
  <si>
    <t xml:space="preserve">৳480</t>
  </si>
  <si>
    <t xml:space="preserve">Arnish's own note: "If applicable". Renews with the licence.</t>
  </si>
  <si>
    <t xml:space="preserve">৳372</t>
  </si>
  <si>
    <t xml:space="preserve">Arnish's own note: "Government VAT component". Equals 15% of ৳2,000 + ৳480 exactly.</t>
  </si>
  <si>
    <t xml:space="preserve">৳3,000</t>
  </si>
  <si>
    <t xml:space="preserve">Arnish's own note: "Depends on applicable rules". Treated as annual — confirm at the ward office.</t>
  </si>
  <si>
    <t xml:space="preserve">৳270–500</t>
  </si>
  <si>
    <t xml:space="preserve">Supplied as a range, kept as a range.</t>
  </si>
  <si>
    <t xml:space="preserve">৳200–500</t>
  </si>
  <si>
    <t xml:space="preserve">৳3,080</t>
  </si>
  <si>
    <t xml:space="preserve">$25, paid once per account.</t>
  </si>
  <si>
    <t xml:space="preserve">৳12,198</t>
  </si>
  <si>
    <t xml:space="preserve">$99, renews every year.</t>
  </si>
  <si>
    <t xml:space="preserve">৳1,199</t>
  </si>
  <si>
    <t xml:space="preserve">Registrar renewal.</t>
  </si>
  <si>
    <t xml:space="preserve">৳2,500</t>
  </si>
  <si>
    <t xml:space="preserve">BTCL renewal.</t>
  </si>
  <si>
    <t xml:space="preserve">Arnish's own note: "Storage + bandwidth + derivations". Subscription tier, billed monthly.</t>
  </si>
  <si>
    <t xml:space="preserve">৳1,525</t>
  </si>
  <si>
    <t xml:space="preserve">Arnish's own note: "One call per disposal and per claim". Usage-based, billed monthly.</t>
  </si>
  <si>
    <t xml:space="preserve">Arnish's own note: "Always-on instance(s)". Hosting, billed monthly.</t>
  </si>
  <si>
    <t xml:space="preserve">৳3,190.73</t>
  </si>
  <si>
    <t xml:space="preserve">Subscription tier, billed monthly.</t>
  </si>
  <si>
    <t xml:space="preserve">Manual Review Operator · UI/UX · QA Engineer · Security Assurance</t>
  </si>
  <si>
    <t xml:space="preserve">$400 total</t>
  </si>
  <si>
    <t xml:space="preserve">Arnish: "I am going to hiring some expart to work on it and paying them 400 USD in total". One combined figure for all four roles, not $400 each.</t>
  </si>
  <si>
    <t xml:space="preserve">One arithmetic correction</t>
  </si>
  <si>
    <t xml:space="preserve">Stated</t>
  </si>
  <si>
    <t xml:space="preserve">Computed</t>
  </si>
  <si>
    <t xml:space="preserve">Registration total</t>
  </si>
  <si>
    <t xml:space="preserve">৳6,500–7,000</t>
  </si>
  <si>
    <t xml:space="preserve">৳6,322–6,852</t>
  </si>
  <si>
    <t xml:space="preserve">The six supplied registration rows sum to ৳6,322 at the low end and ৳6,852 at the high end. Arnish's stated estimate was about ৳180 high at the bottom of the range and ৳150 high at the top. The computed figure is used throughout.</t>
  </si>
  <si>
    <t xml:space="preserve">Scope — what this plan does NOT include</t>
  </si>
  <si>
    <t xml:space="preserve">Because it uses only the figures supplied in chat, this plan carries no line for: a Mac or any hardware (required to build and submit an iOS app); Firebase / Blaze; Redis; a trademark filing; bank account opening; founder or staff salaries beyond the $400; the manual review operator as an ongoing monthly cost once volume grows; marketing; office or rent; or any contingency. Those are real costs and several are unavoidable — they are simply outside the data set this plan was asked to cover.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</si>
</sst>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–"/>
    <numFmt numFmtId="166" formatCode="#,##0.00;\(#,##0.00\);\–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6C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.5"/>
      <color rgb="FF6B7280"/>
      <name val="Arial"/>
      <family val="0"/>
      <charset val="1"/>
    </font>
    <font>
      <b val="true"/>
      <sz val="10"/>
      <color rgb="FF004D3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.5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004D36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D6"/>
        <bgColor rgb="FFF0F5F2"/>
      </patternFill>
    </fill>
    <fill>
      <patternFill patternType="solid">
        <fgColor rgb="FF006C4C"/>
        <bgColor rgb="FF008080"/>
      </patternFill>
    </fill>
    <fill>
      <patternFill patternType="solid">
        <fgColor rgb="FF004D36"/>
        <bgColor rgb="FF006C4C"/>
      </patternFill>
    </fill>
    <fill>
      <patternFill patternType="solid">
        <fgColor rgb="FFE8F0EB"/>
        <bgColor rgb="FFF0F5F2"/>
      </patternFill>
    </fill>
    <fill>
      <patternFill patternType="solid">
        <fgColor rgb="FFF0F5F2"/>
        <bgColor rgb="FFE8F0E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6C4C"/>
      </bottom>
      <diagonal/>
    </border>
    <border diagonalUp="false" diagonalDown="false">
      <left style="thin">
        <color rgb="FFD7E2DB"/>
      </left>
      <right style="thin">
        <color rgb="FFD7E2DB"/>
      </right>
      <top style="thin">
        <color rgb="FFD7E2DB"/>
      </top>
      <bottom style="thin">
        <color rgb="FFD7E2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C4C"/>
      <rgbColor rgb="FFC0C0C0"/>
      <rgbColor rgb="FF808080"/>
      <rgbColor rgb="FF9999FF"/>
      <rgbColor rgb="FF993366"/>
      <rgbColor rgb="FFFFF6D6"/>
      <rgbColor rgb="FFE8F0EB"/>
      <rgbColor rgb="FF660066"/>
      <rgbColor rgb="FFFF8080"/>
      <rgbColor rgb="FF0066CC"/>
      <rgbColor rgb="FFD7E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4D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C4C"/>
    <pageSetUpPr fitToPage="tru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1" t="s">
        <v>0</v>
      </c>
      <c r="B1" s="2" t="n">
        <v>400</v>
      </c>
      <c r="C1" s="3" t="s">
        <v>1</v>
      </c>
    </row>
    <row r="2" customFormat="false" ht="15" hidden="false" customHeight="false" outlineLevel="0" collapsed="false">
      <c r="A2" s="4" t="s">
        <v>2</v>
      </c>
      <c r="B2" s="5"/>
      <c r="C2" s="5"/>
      <c r="D2" s="5"/>
      <c r="E2" s="5"/>
    </row>
    <row r="4" customFormat="false" ht="21.7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</row>
    <row r="5" customFormat="false" ht="19.5" hidden="false" customHeight="true" outlineLevel="0" collapsed="false">
      <c r="A5" s="7" t="s">
        <v>8</v>
      </c>
      <c r="B5" s="8"/>
      <c r="C5" s="8"/>
      <c r="D5" s="8"/>
      <c r="E5" s="8"/>
    </row>
    <row r="6" customFormat="false" ht="18" hidden="false" customHeight="true" outlineLevel="0" collapsed="false">
      <c r="A6" s="9" t="s">
        <v>9</v>
      </c>
      <c r="B6" s="10" t="s">
        <v>10</v>
      </c>
      <c r="C6" s="11" t="n">
        <v>2000</v>
      </c>
      <c r="D6" s="11" t="n">
        <v>2000</v>
      </c>
      <c r="E6" s="12" t="s">
        <v>11</v>
      </c>
    </row>
    <row r="7" customFormat="false" ht="18" hidden="false" customHeight="true" outlineLevel="0" collapsed="false">
      <c r="A7" s="9" t="s">
        <v>12</v>
      </c>
      <c r="B7" s="10" t="s">
        <v>10</v>
      </c>
      <c r="C7" s="11" t="n">
        <v>480</v>
      </c>
      <c r="D7" s="11" t="n">
        <v>480</v>
      </c>
      <c r="E7" s="12" t="s">
        <v>13</v>
      </c>
    </row>
    <row r="8" customFormat="false" ht="18" hidden="false" customHeight="true" outlineLevel="0" collapsed="false">
      <c r="A8" s="9" t="s">
        <v>14</v>
      </c>
      <c r="B8" s="10" t="s">
        <v>10</v>
      </c>
      <c r="C8" s="11" t="n">
        <v>372</v>
      </c>
      <c r="D8" s="11" t="n">
        <v>372</v>
      </c>
      <c r="E8" s="12" t="s">
        <v>15</v>
      </c>
    </row>
    <row r="9" customFormat="false" ht="18" hidden="false" customHeight="true" outlineLevel="0" collapsed="false">
      <c r="A9" s="9" t="s">
        <v>16</v>
      </c>
      <c r="B9" s="10" t="s">
        <v>10</v>
      </c>
      <c r="C9" s="11" t="n">
        <v>3000</v>
      </c>
      <c r="D9" s="11" t="n">
        <v>3000</v>
      </c>
      <c r="E9" s="12" t="s">
        <v>17</v>
      </c>
    </row>
    <row r="10" customFormat="false" ht="18" hidden="false" customHeight="true" outlineLevel="0" collapsed="false">
      <c r="A10" s="9" t="s">
        <v>18</v>
      </c>
      <c r="B10" s="10" t="s">
        <v>19</v>
      </c>
      <c r="C10" s="11" t="n">
        <v>270</v>
      </c>
      <c r="D10" s="11" t="n">
        <v>500</v>
      </c>
      <c r="E10" s="12" t="s">
        <v>20</v>
      </c>
    </row>
    <row r="11" customFormat="false" ht="18" hidden="false" customHeight="true" outlineLevel="0" collapsed="false">
      <c r="A11" s="9" t="s">
        <v>21</v>
      </c>
      <c r="B11" s="10" t="s">
        <v>19</v>
      </c>
      <c r="C11" s="11" t="n">
        <v>200</v>
      </c>
      <c r="D11" s="11" t="n">
        <v>500</v>
      </c>
      <c r="E11" s="12" t="s">
        <v>22</v>
      </c>
    </row>
    <row r="12" customFormat="false" ht="18.75" hidden="false" customHeight="true" outlineLevel="0" collapsed="false">
      <c r="A12" s="13" t="s">
        <v>23</v>
      </c>
      <c r="B12" s="13"/>
      <c r="C12" s="14" t="n">
        <f aca="false">SUM(C6:C11)</f>
        <v>6322</v>
      </c>
      <c r="D12" s="14" t="n">
        <f aca="false">SUM(D6:D11)</f>
        <v>6852</v>
      </c>
      <c r="E12" s="13"/>
    </row>
    <row r="14" customFormat="false" ht="21.75" hidden="false" customHeight="true" outlineLevel="0" collapsed="false">
      <c r="A14" s="6" t="s">
        <v>3</v>
      </c>
      <c r="B14" s="6" t="s">
        <v>4</v>
      </c>
      <c r="C14" s="6" t="s">
        <v>5</v>
      </c>
      <c r="D14" s="6" t="s">
        <v>6</v>
      </c>
      <c r="E14" s="6" t="s">
        <v>7</v>
      </c>
    </row>
    <row r="15" customFormat="false" ht="19.5" hidden="false" customHeight="true" outlineLevel="0" collapsed="false">
      <c r="A15" s="7" t="s">
        <v>24</v>
      </c>
      <c r="B15" s="8"/>
      <c r="C15" s="8"/>
      <c r="D15" s="8"/>
      <c r="E15" s="8"/>
    </row>
    <row r="16" customFormat="false" ht="18" hidden="false" customHeight="true" outlineLevel="0" collapsed="false">
      <c r="A16" s="9" t="s">
        <v>25</v>
      </c>
      <c r="B16" s="10" t="s">
        <v>19</v>
      </c>
      <c r="C16" s="11" t="n">
        <v>3080</v>
      </c>
      <c r="D16" s="11" t="n">
        <v>3080</v>
      </c>
      <c r="E16" s="12" t="s">
        <v>26</v>
      </c>
    </row>
    <row r="17" customFormat="false" ht="18" hidden="false" customHeight="true" outlineLevel="0" collapsed="false">
      <c r="A17" s="9" t="s">
        <v>27</v>
      </c>
      <c r="B17" s="10" t="s">
        <v>10</v>
      </c>
      <c r="C17" s="11" t="n">
        <v>12198</v>
      </c>
      <c r="D17" s="11" t="n">
        <v>12198</v>
      </c>
      <c r="E17" s="12" t="s">
        <v>28</v>
      </c>
    </row>
    <row r="18" customFormat="false" ht="18" hidden="false" customHeight="true" outlineLevel="0" collapsed="false">
      <c r="A18" s="9" t="s">
        <v>29</v>
      </c>
      <c r="B18" s="10" t="s">
        <v>10</v>
      </c>
      <c r="C18" s="11" t="n">
        <v>1199</v>
      </c>
      <c r="D18" s="11" t="n">
        <v>1199</v>
      </c>
      <c r="E18" s="12" t="s">
        <v>30</v>
      </c>
    </row>
    <row r="19" customFormat="false" ht="18" hidden="false" customHeight="true" outlineLevel="0" collapsed="false">
      <c r="A19" s="9" t="s">
        <v>31</v>
      </c>
      <c r="B19" s="10" t="s">
        <v>10</v>
      </c>
      <c r="C19" s="11" t="n">
        <v>2500</v>
      </c>
      <c r="D19" s="11" t="n">
        <v>2500</v>
      </c>
      <c r="E19" s="12" t="s">
        <v>30</v>
      </c>
    </row>
    <row r="20" customFormat="false" ht="18" hidden="false" customHeight="true" outlineLevel="0" collapsed="false">
      <c r="A20" s="9" t="s">
        <v>32</v>
      </c>
      <c r="B20" s="10" t="s">
        <v>33</v>
      </c>
      <c r="C20" s="11" t="n">
        <v>12198</v>
      </c>
      <c r="D20" s="11" t="n">
        <v>12198</v>
      </c>
      <c r="E20" s="12" t="s">
        <v>34</v>
      </c>
    </row>
    <row r="21" customFormat="false" ht="18" hidden="false" customHeight="true" outlineLevel="0" collapsed="false">
      <c r="A21" s="9" t="s">
        <v>35</v>
      </c>
      <c r="B21" s="10" t="s">
        <v>33</v>
      </c>
      <c r="C21" s="11" t="n">
        <v>1525</v>
      </c>
      <c r="D21" s="11" t="n">
        <v>1525</v>
      </c>
      <c r="E21" s="12" t="s">
        <v>36</v>
      </c>
    </row>
    <row r="22" customFormat="false" ht="18" hidden="false" customHeight="true" outlineLevel="0" collapsed="false">
      <c r="A22" s="9" t="s">
        <v>37</v>
      </c>
      <c r="B22" s="10" t="s">
        <v>33</v>
      </c>
      <c r="C22" s="11" t="n">
        <v>3080</v>
      </c>
      <c r="D22" s="11" t="n">
        <v>3080</v>
      </c>
      <c r="E22" s="12" t="s">
        <v>38</v>
      </c>
    </row>
    <row r="23" customFormat="false" ht="18" hidden="false" customHeight="true" outlineLevel="0" collapsed="false">
      <c r="A23" s="9" t="s">
        <v>39</v>
      </c>
      <c r="B23" s="10" t="s">
        <v>33</v>
      </c>
      <c r="C23" s="11" t="n">
        <v>3190.73</v>
      </c>
      <c r="D23" s="11" t="n">
        <v>3190.73</v>
      </c>
      <c r="E23" s="12" t="s">
        <v>40</v>
      </c>
    </row>
    <row r="24" customFormat="false" ht="18.75" hidden="false" customHeight="true" outlineLevel="0" collapsed="false">
      <c r="A24" s="13" t="s">
        <v>41</v>
      </c>
      <c r="B24" s="13"/>
      <c r="C24" s="14" t="n">
        <f aca="false">SUM(C16:C23)</f>
        <v>38970.73</v>
      </c>
      <c r="D24" s="14" t="n">
        <f aca="false">SUM(D16:D23)</f>
        <v>38970.73</v>
      </c>
      <c r="E24" s="13"/>
    </row>
    <row r="25" customFormat="false" ht="24" hidden="false" customHeight="true" outlineLevel="0" collapsed="false">
      <c r="A25" s="15" t="s">
        <v>42</v>
      </c>
      <c r="B25" s="15"/>
      <c r="C25" s="15"/>
      <c r="D25" s="15"/>
      <c r="E25" s="15"/>
    </row>
    <row r="27" customFormat="false" ht="21.75" hidden="false" customHeight="true" outlineLevel="0" collapsed="false">
      <c r="A27" s="6" t="s">
        <v>3</v>
      </c>
      <c r="B27" s="6" t="s">
        <v>4</v>
      </c>
      <c r="C27" s="6" t="s">
        <v>5</v>
      </c>
      <c r="D27" s="6" t="s">
        <v>6</v>
      </c>
      <c r="E27" s="6" t="s">
        <v>7</v>
      </c>
    </row>
    <row r="28" customFormat="false" ht="19.5" hidden="false" customHeight="true" outlineLevel="0" collapsed="false">
      <c r="A28" s="7" t="s">
        <v>43</v>
      </c>
      <c r="B28" s="8"/>
      <c r="C28" s="8"/>
      <c r="D28" s="8"/>
      <c r="E28" s="8"/>
    </row>
    <row r="29" customFormat="false" ht="19.5" hidden="false" customHeight="true" outlineLevel="0" collapsed="false">
      <c r="A29" s="16" t="s">
        <v>44</v>
      </c>
      <c r="B29" s="10" t="s">
        <v>19</v>
      </c>
      <c r="C29" s="9"/>
      <c r="D29" s="9"/>
      <c r="E29" s="12" t="s">
        <v>45</v>
      </c>
    </row>
    <row r="30" customFormat="false" ht="19.5" hidden="false" customHeight="true" outlineLevel="0" collapsed="false">
      <c r="A30" s="16" t="s">
        <v>46</v>
      </c>
      <c r="B30" s="10" t="s">
        <v>19</v>
      </c>
      <c r="C30" s="9"/>
      <c r="D30" s="9"/>
      <c r="E30" s="12" t="s">
        <v>45</v>
      </c>
    </row>
    <row r="31" customFormat="false" ht="19.5" hidden="false" customHeight="true" outlineLevel="0" collapsed="false">
      <c r="A31" s="16" t="s">
        <v>47</v>
      </c>
      <c r="B31" s="10" t="s">
        <v>19</v>
      </c>
      <c r="C31" s="9"/>
      <c r="D31" s="9"/>
      <c r="E31" s="12" t="s">
        <v>45</v>
      </c>
    </row>
    <row r="32" customFormat="false" ht="19.5" hidden="false" customHeight="true" outlineLevel="0" collapsed="false">
      <c r="A32" s="16" t="s">
        <v>48</v>
      </c>
      <c r="B32" s="10" t="s">
        <v>19</v>
      </c>
      <c r="C32" s="9"/>
      <c r="D32" s="9"/>
      <c r="E32" s="12" t="s">
        <v>45</v>
      </c>
    </row>
    <row r="33" customFormat="false" ht="18" hidden="false" customHeight="true" outlineLevel="0" collapsed="false">
      <c r="A33" s="17" t="s">
        <v>49</v>
      </c>
      <c r="B33" s="10" t="s">
        <v>19</v>
      </c>
      <c r="C33" s="11" t="n">
        <f aca="false">$B$1*Basis!$B$6</f>
        <v>49284</v>
      </c>
      <c r="D33" s="11" t="n">
        <f aca="false">$B$1*Basis!$B$6</f>
        <v>49284</v>
      </c>
      <c r="E33" s="12" t="s">
        <v>50</v>
      </c>
    </row>
    <row r="34" customFormat="false" ht="18.75" hidden="false" customHeight="true" outlineLevel="0" collapsed="false">
      <c r="A34" s="13" t="s">
        <v>51</v>
      </c>
      <c r="B34" s="13"/>
      <c r="C34" s="14" t="n">
        <f aca="false">C33</f>
        <v>49284</v>
      </c>
      <c r="D34" s="14" t="n">
        <f aca="false">D33</f>
        <v>49284</v>
      </c>
      <c r="E34" s="13"/>
    </row>
    <row r="36" customFormat="false" ht="21.75" hidden="false" customHeight="true" outlineLevel="0" collapsed="false">
      <c r="A36" s="6" t="s">
        <v>3</v>
      </c>
      <c r="B36" s="6" t="s">
        <v>4</v>
      </c>
      <c r="C36" s="6" t="s">
        <v>5</v>
      </c>
      <c r="D36" s="6" t="s">
        <v>6</v>
      </c>
      <c r="E36" s="6" t="s">
        <v>7</v>
      </c>
    </row>
    <row r="37" customFormat="false" ht="19.5" hidden="false" customHeight="true" outlineLevel="0" collapsed="false">
      <c r="A37" s="7" t="s">
        <v>52</v>
      </c>
      <c r="B37" s="8"/>
      <c r="C37" s="8"/>
      <c r="D37" s="8"/>
      <c r="E37" s="8"/>
    </row>
    <row r="38" customFormat="false" ht="25.5" hidden="false" customHeight="true" outlineLevel="0" collapsed="false">
      <c r="A38" s="17" t="s">
        <v>53</v>
      </c>
      <c r="B38" s="18"/>
      <c r="C38" s="19" t="n">
        <f aca="false">C10+C11+C16+C33</f>
        <v>52834</v>
      </c>
      <c r="D38" s="19" t="n">
        <f aca="false">D10+D11+D16+D33</f>
        <v>53364</v>
      </c>
      <c r="E38" s="12" t="s">
        <v>54</v>
      </c>
    </row>
    <row r="39" customFormat="false" ht="25.5" hidden="false" customHeight="true" outlineLevel="0" collapsed="false">
      <c r="A39" s="17" t="s">
        <v>55</v>
      </c>
      <c r="B39" s="18"/>
      <c r="C39" s="19" t="n">
        <f aca="false">C6+C7+C8+C9+C17+C18+C19</f>
        <v>21749</v>
      </c>
      <c r="D39" s="19" t="n">
        <f aca="false">D6+D7+D8+D9+D17+D18+D19</f>
        <v>21749</v>
      </c>
      <c r="E39" s="12" t="s">
        <v>56</v>
      </c>
    </row>
    <row r="40" customFormat="false" ht="25.5" hidden="false" customHeight="true" outlineLevel="0" collapsed="false">
      <c r="A40" s="17" t="s">
        <v>57</v>
      </c>
      <c r="B40" s="18"/>
      <c r="C40" s="19" t="n">
        <f aca="false">SUM(C20:C23)</f>
        <v>19993.73</v>
      </c>
      <c r="D40" s="19" t="n">
        <f aca="false">SUM(D20:D23)</f>
        <v>19993.73</v>
      </c>
      <c r="E40" s="12" t="s">
        <v>58</v>
      </c>
    </row>
    <row r="41" customFormat="false" ht="30" hidden="false" customHeight="true" outlineLevel="0" collapsed="false">
      <c r="A41" s="20" t="s">
        <v>59</v>
      </c>
      <c r="B41" s="21"/>
      <c r="C41" s="22" t="n">
        <f aca="false">C38+C39+C40</f>
        <v>94576.73</v>
      </c>
      <c r="D41" s="22" t="n">
        <f aca="false">D38+D39+D40</f>
        <v>95106.73</v>
      </c>
      <c r="E41" s="23" t="s">
        <v>60</v>
      </c>
    </row>
    <row r="42" customFormat="false" ht="15" hidden="false" customHeight="false" outlineLevel="0" collapsed="false">
      <c r="A42" s="24" t="s">
        <v>61</v>
      </c>
      <c r="B42" s="18"/>
      <c r="C42" s="25" t="n">
        <f aca="false">C41/Basis!$B$6</f>
        <v>767.60595730866</v>
      </c>
      <c r="D42" s="25" t="n">
        <f aca="false">D41/Basis!$B$6</f>
        <v>771.907556204854</v>
      </c>
      <c r="E42" s="26"/>
    </row>
    <row r="44" customFormat="false" ht="25.5" hidden="false" customHeight="true" outlineLevel="0" collapsed="false">
      <c r="A44" s="27" t="s">
        <v>62</v>
      </c>
      <c r="B44" s="28"/>
      <c r="C44" s="29" t="n">
        <f aca="false">C38+C39+C40*12</f>
        <v>314507.76</v>
      </c>
      <c r="D44" s="29" t="n">
        <f aca="false">D38+D39+D40*12</f>
        <v>315037.76</v>
      </c>
      <c r="E44" s="30" t="s">
        <v>63</v>
      </c>
    </row>
    <row r="45" customFormat="false" ht="15" hidden="false" customHeight="false" outlineLevel="0" collapsed="false">
      <c r="A45" s="24" t="s">
        <v>61</v>
      </c>
      <c r="B45" s="18"/>
      <c r="C45" s="25" t="n">
        <f aca="false">C44/Basis!$B$6</f>
        <v>2552.61553445337</v>
      </c>
      <c r="D45" s="25" t="n">
        <f aca="false">D44/Basis!$B$6</f>
        <v>2556.91713334957</v>
      </c>
      <c r="E45" s="26"/>
    </row>
    <row r="47" customFormat="false" ht="25.5" hidden="false" customHeight="true" outlineLevel="0" collapsed="false">
      <c r="A47" s="15" t="s">
        <v>64</v>
      </c>
      <c r="B47" s="15"/>
      <c r="C47" s="15"/>
      <c r="D47" s="15"/>
      <c r="E47" s="15"/>
    </row>
  </sheetData>
  <mergeCells count="2">
    <mergeCell ref="A25:E25"/>
    <mergeCell ref="A47:E4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65</v>
      </c>
    </row>
    <row r="2" customFormat="false" ht="15" hidden="false" customHeight="false" outlineLevel="0" collapsed="false">
      <c r="A2" s="4" t="s">
        <v>66</v>
      </c>
      <c r="B2" s="5"/>
      <c r="C2" s="5"/>
      <c r="D2" s="5"/>
    </row>
    <row r="4" customFormat="false" ht="15" hidden="false" customHeight="false" outlineLevel="0" collapsed="false">
      <c r="A4" s="31" t="s">
        <v>67</v>
      </c>
    </row>
    <row r="5" customFormat="false" ht="21.75" hidden="false" customHeight="true" outlineLevel="0" collapsed="false">
      <c r="A5" s="6" t="s">
        <v>68</v>
      </c>
      <c r="B5" s="6" t="s">
        <v>69</v>
      </c>
      <c r="C5" s="6"/>
      <c r="D5" s="6" t="s">
        <v>65</v>
      </c>
    </row>
    <row r="6" customFormat="false" ht="42" hidden="false" customHeight="true" outlineLevel="0" collapsed="false">
      <c r="A6" s="9" t="s">
        <v>70</v>
      </c>
      <c r="B6" s="32" t="n">
        <v>123.21</v>
      </c>
      <c r="C6" s="9"/>
      <c r="D6" s="12" t="s">
        <v>71</v>
      </c>
    </row>
    <row r="8" customFormat="false" ht="15" hidden="false" customHeight="false" outlineLevel="0" collapsed="false">
      <c r="A8" s="31" t="s">
        <v>72</v>
      </c>
    </row>
    <row r="9" customFormat="false" ht="55.5" hidden="false" customHeight="true" outlineLevel="0" collapsed="false">
      <c r="A9" s="17" t="s">
        <v>73</v>
      </c>
      <c r="B9" s="9"/>
      <c r="C9" s="9"/>
      <c r="D9" s="12" t="s">
        <v>74</v>
      </c>
    </row>
    <row r="11" customFormat="false" ht="15" hidden="false" customHeight="false" outlineLevel="0" collapsed="false">
      <c r="A11" s="31" t="s">
        <v>75</v>
      </c>
    </row>
    <row r="12" customFormat="false" ht="21.75" hidden="false" customHeight="true" outlineLevel="0" collapsed="false">
      <c r="A12" s="6" t="s">
        <v>76</v>
      </c>
      <c r="B12" s="6" t="s">
        <v>7</v>
      </c>
      <c r="C12" s="6" t="s">
        <v>77</v>
      </c>
      <c r="D12" s="6" t="s">
        <v>78</v>
      </c>
    </row>
    <row r="13" customFormat="false" ht="25.5" hidden="false" customHeight="true" outlineLevel="0" collapsed="false">
      <c r="A13" s="16" t="s">
        <v>9</v>
      </c>
      <c r="B13" s="10" t="s">
        <v>79</v>
      </c>
      <c r="C13" s="10" t="s">
        <v>10</v>
      </c>
      <c r="D13" s="12" t="s">
        <v>80</v>
      </c>
    </row>
    <row r="14" customFormat="false" ht="25.5" hidden="false" customHeight="true" outlineLevel="0" collapsed="false">
      <c r="A14" s="16" t="s">
        <v>12</v>
      </c>
      <c r="B14" s="10" t="s">
        <v>81</v>
      </c>
      <c r="C14" s="10" t="s">
        <v>10</v>
      </c>
      <c r="D14" s="12" t="s">
        <v>82</v>
      </c>
    </row>
    <row r="15" customFormat="false" ht="25.5" hidden="false" customHeight="true" outlineLevel="0" collapsed="false">
      <c r="A15" s="16" t="s">
        <v>14</v>
      </c>
      <c r="B15" s="10" t="s">
        <v>83</v>
      </c>
      <c r="C15" s="10" t="s">
        <v>10</v>
      </c>
      <c r="D15" s="12" t="s">
        <v>84</v>
      </c>
    </row>
    <row r="16" customFormat="false" ht="25.5" hidden="false" customHeight="true" outlineLevel="0" collapsed="false">
      <c r="A16" s="16" t="s">
        <v>16</v>
      </c>
      <c r="B16" s="10" t="s">
        <v>85</v>
      </c>
      <c r="C16" s="10" t="s">
        <v>10</v>
      </c>
      <c r="D16" s="12" t="s">
        <v>86</v>
      </c>
    </row>
    <row r="17" customFormat="false" ht="25.5" hidden="false" customHeight="true" outlineLevel="0" collapsed="false">
      <c r="A17" s="16" t="s">
        <v>18</v>
      </c>
      <c r="B17" s="10" t="s">
        <v>87</v>
      </c>
      <c r="C17" s="10" t="s">
        <v>19</v>
      </c>
      <c r="D17" s="12" t="s">
        <v>88</v>
      </c>
    </row>
    <row r="18" customFormat="false" ht="25.5" hidden="false" customHeight="true" outlineLevel="0" collapsed="false">
      <c r="A18" s="16" t="s">
        <v>21</v>
      </c>
      <c r="B18" s="10" t="s">
        <v>89</v>
      </c>
      <c r="C18" s="10" t="s">
        <v>19</v>
      </c>
      <c r="D18" s="12" t="s">
        <v>88</v>
      </c>
    </row>
    <row r="19" customFormat="false" ht="25.5" hidden="false" customHeight="true" outlineLevel="0" collapsed="false">
      <c r="A19" s="16" t="s">
        <v>25</v>
      </c>
      <c r="B19" s="10" t="s">
        <v>90</v>
      </c>
      <c r="C19" s="10" t="s">
        <v>19</v>
      </c>
      <c r="D19" s="12" t="s">
        <v>91</v>
      </c>
    </row>
    <row r="20" customFormat="false" ht="25.5" hidden="false" customHeight="true" outlineLevel="0" collapsed="false">
      <c r="A20" s="16" t="s">
        <v>27</v>
      </c>
      <c r="B20" s="10" t="s">
        <v>92</v>
      </c>
      <c r="C20" s="10" t="s">
        <v>10</v>
      </c>
      <c r="D20" s="12" t="s">
        <v>93</v>
      </c>
    </row>
    <row r="21" customFormat="false" ht="25.5" hidden="false" customHeight="true" outlineLevel="0" collapsed="false">
      <c r="A21" s="16" t="s">
        <v>29</v>
      </c>
      <c r="B21" s="10" t="s">
        <v>94</v>
      </c>
      <c r="C21" s="10" t="s">
        <v>10</v>
      </c>
      <c r="D21" s="12" t="s">
        <v>95</v>
      </c>
    </row>
    <row r="22" customFormat="false" ht="25.5" hidden="false" customHeight="true" outlineLevel="0" collapsed="false">
      <c r="A22" s="16" t="s">
        <v>31</v>
      </c>
      <c r="B22" s="10" t="s">
        <v>96</v>
      </c>
      <c r="C22" s="10" t="s">
        <v>10</v>
      </c>
      <c r="D22" s="12" t="s">
        <v>97</v>
      </c>
    </row>
    <row r="23" customFormat="false" ht="25.5" hidden="false" customHeight="true" outlineLevel="0" collapsed="false">
      <c r="A23" s="16" t="s">
        <v>32</v>
      </c>
      <c r="B23" s="10" t="s">
        <v>92</v>
      </c>
      <c r="C23" s="10" t="s">
        <v>33</v>
      </c>
      <c r="D23" s="12" t="s">
        <v>98</v>
      </c>
    </row>
    <row r="24" customFormat="false" ht="25.5" hidden="false" customHeight="true" outlineLevel="0" collapsed="false">
      <c r="A24" s="16" t="s">
        <v>35</v>
      </c>
      <c r="B24" s="10" t="s">
        <v>99</v>
      </c>
      <c r="C24" s="10" t="s">
        <v>33</v>
      </c>
      <c r="D24" s="12" t="s">
        <v>100</v>
      </c>
    </row>
    <row r="25" customFormat="false" ht="25.5" hidden="false" customHeight="true" outlineLevel="0" collapsed="false">
      <c r="A25" s="16" t="s">
        <v>37</v>
      </c>
      <c r="B25" s="10" t="s">
        <v>90</v>
      </c>
      <c r="C25" s="10" t="s">
        <v>33</v>
      </c>
      <c r="D25" s="12" t="s">
        <v>101</v>
      </c>
    </row>
    <row r="26" customFormat="false" ht="25.5" hidden="false" customHeight="true" outlineLevel="0" collapsed="false">
      <c r="A26" s="16" t="s">
        <v>39</v>
      </c>
      <c r="B26" s="10" t="s">
        <v>102</v>
      </c>
      <c r="C26" s="10" t="s">
        <v>33</v>
      </c>
      <c r="D26" s="12" t="s">
        <v>103</v>
      </c>
    </row>
    <row r="27" customFormat="false" ht="25.5" hidden="false" customHeight="true" outlineLevel="0" collapsed="false">
      <c r="A27" s="16" t="s">
        <v>104</v>
      </c>
      <c r="B27" s="10" t="s">
        <v>105</v>
      </c>
      <c r="C27" s="10" t="s">
        <v>19</v>
      </c>
      <c r="D27" s="12" t="s">
        <v>106</v>
      </c>
    </row>
    <row r="29" customFormat="false" ht="15" hidden="false" customHeight="false" outlineLevel="0" collapsed="false">
      <c r="A29" s="31" t="s">
        <v>107</v>
      </c>
    </row>
    <row r="30" customFormat="false" ht="21.75" hidden="false" customHeight="true" outlineLevel="0" collapsed="false">
      <c r="A30" s="6"/>
      <c r="B30" s="6" t="s">
        <v>108</v>
      </c>
      <c r="C30" s="6" t="s">
        <v>109</v>
      </c>
      <c r="D30" s="6" t="s">
        <v>78</v>
      </c>
    </row>
    <row r="31" customFormat="false" ht="39.75" hidden="false" customHeight="true" outlineLevel="0" collapsed="false">
      <c r="A31" s="9" t="s">
        <v>110</v>
      </c>
      <c r="B31" s="10" t="s">
        <v>111</v>
      </c>
      <c r="C31" s="33" t="s">
        <v>112</v>
      </c>
      <c r="D31" s="12" t="s">
        <v>113</v>
      </c>
    </row>
    <row r="33" customFormat="false" ht="15" hidden="false" customHeight="false" outlineLevel="0" collapsed="false">
      <c r="A33" s="31" t="s">
        <v>114</v>
      </c>
    </row>
    <row r="34" customFormat="false" ht="61.5" hidden="false" customHeight="true" outlineLevel="0" collapsed="false">
      <c r="A34" s="34" t="s">
        <v>115</v>
      </c>
      <c r="B34" s="34"/>
      <c r="C34" s="34"/>
      <c r="D34" s="34"/>
    </row>
  </sheetData>
  <mergeCells count="1">
    <mergeCell ref="A34:D3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2026-09-02T11:46:16Z</dcterms:created>
  <dc:creator>openpyxl</dc:creator>
  <dc:description/>
  <dc:language>en-US</dc:language>
  <cp:lastModifiedBy/>
  <dcterms:modified xsi:type="dcterms:W3CDTF">2026-09-02T11:46:16Z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
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udget Summary" sheetId="2" state="visible" r:id="rId4"/>
    <sheet name="Assumptions" sheetId="3" state="visible" r:id="rId5"/>
    <sheet name="1 Registration" sheetId="4" state="visible" r:id="rId6"/>
    <sheet name="2 Technology" sheetId="5" state="visible" r:id="rId7"/>
    <sheet name="3 People" sheetId="6" state="visible" r:id="rId8"/>
    <sheet name="Run Rate" sheetId="7" state="visible" r:id="rId9"/>
    <sheet name="Cash Flow" sheetId="8" state="visible" r:id="rId10"/>
    <sheet name="Decisions" sheetId="9" state="visible" r:id="rId11"/>
    <sheet name="Risks" sheetId="10" state="visible" r:id="rId12"/>
    <sheet name="Source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<sst xmlns="http://schemas.openxmlformats.org/spreadsheetml/2006/main" count="564" uniqueCount="447">
  <si>
    <t xml:space="preserve">Chokro — Budget Plan</t>
  </si>
  <si>
    <t xml:space="preserve">Soft launch: 30 September 2026  ·  Dhaka pilot  ·  Prepared 2 September 2026</t>
  </si>
  <si>
    <t xml:space="preserve">What this is</t>
  </si>
  <si>
    <t xml:space="preserve">A complete cost picture for taking Chokro from its current state to a soft launch on 30 September 2026, and through the first twelve months of operation at Dhaka pilot scale.
Three cost categories: business registration, technology, and hired expertise. Each has its own tab. The Budget Summary tab is the one-page answer.</t>
  </si>
  <si>
    <t xml:space="preserve">Who it is for</t>
  </si>
  <si>
    <t xml:space="preserve">Sponsors and funders. It is written to be read by someone who has not seen the codebase, and every figure traces to a named source on the Sources tab.</t>
  </si>
  <si>
    <t xml:space="preserve">The one thing to read first</t>
  </si>
  <si>
    <t xml:space="preserve">Costs here are split into ONE-TIME, ANNUAL and MONTHLY, and they are never added together without the period stated. This matters: the largest technology line, Cloudinary at ৳12,198, is a MONTHLY charge that happens to equal the ANNUAL Apple Developer fee. Read as a flat list, this budget looks like ৳36,000. It is ৳2.89 lakh in year one.</t>
  </si>
  <si>
    <t xml:space="preserve">How to read the colours</t>
  </si>
  <si>
    <t xml:space="preserve">BLUE text is a hardcoded input or a lever you can change.  BLACK text is a formula.  GREEN text pulls a figure from another tab.  A pale yellow cell is a key assumption worth arguing with.
Change the exchange rate on Assumptions!B6 and the entire workbook re-prices.</t>
  </si>
  <si>
    <t xml:space="preserve">Scenario shown</t>
  </si>
  <si>
    <t xml:space="preserve">Base case is ANDROID-FIRST at soft launch, sole-proprietorship registration, and $400 of hired specialist time. The Decisions tab prices the alternatives — including iOS at launch, which adds ৳1.32 lakh.</t>
  </si>
  <si>
    <t xml:space="preserve">What is decided and what is not</t>
  </si>
  <si>
    <t xml:space="preserve">DECIDED by Arnish: sole proprietorship; $400 one-time expert budget; Gemini 2.5 Flash-Lite on the paid tier as the screening provider; Dhaka pilot of a few wards and campuses.
NOT DECIDED: whether a Mac is available for iOS builds; whether the trademark is filed before launch; when the Cloudinary migration happens. All three are priced on Decisions.</t>
  </si>
  <si>
    <t xml:space="preserve">Relationship to the other Chokro workbooks</t>
  </si>
  <si>
    <t xml:space="preserve">This is the money view. Chokro_Technology_Cost_Model.xlsx holds the per-vendor engineering detail and the city/national scale-up; Chokro_Soft_Launch_Planner_Sep2026.xlsx holds the schedule. Where they disagree with this file, this file is newer — it corrects the screening provider from Groq to Gemini and adds Sentry.</t>
  </si>
  <si>
    <t xml:space="preserve">Tabs in order</t>
  </si>
  <si>
    <t xml:space="preserve">Assumptions</t>
  </si>
  <si>
    <t xml:space="preserve">Every driver and vendor rate. Change things here.</t>
  </si>
  <si>
    <t xml:space="preserve">Budget Summary</t>
  </si>
  <si>
    <t xml:space="preserve">The one-page total: to launch, year 1, year 2 onward.</t>
  </si>
  <si>
    <t xml:space="preserve">1 Registration</t>
  </si>
  <si>
    <t xml:space="preserve">Sole-proprietorship registration and licensing.</t>
  </si>
  <si>
    <t xml:space="preserve">2 Technology</t>
  </si>
  <si>
    <t xml:space="preserve">Stores, domains, hosting, AI screening, monitoring.</t>
  </si>
  <si>
    <t xml:space="preserve">3 People</t>
  </si>
  <si>
    <t xml:space="preserve">The $400 expert budget against the 35 must-do days.</t>
  </si>
  <si>
    <t xml:space="preserve">Run Rate</t>
  </si>
  <si>
    <t xml:space="preserve">The monthly recurring stack, and how it grows with scale.</t>
  </si>
  <si>
    <t xml:space="preserve">Cash Flow</t>
  </si>
  <si>
    <t xml:space="preserve">Month by month, Sep 2026 to Aug 2027.</t>
  </si>
  <si>
    <t xml:space="preserve">Decisions</t>
  </si>
  <si>
    <t xml:space="preserve">Five costed levers, each with a recommendation.</t>
  </si>
  <si>
    <t xml:space="preserve">Risks</t>
  </si>
  <si>
    <t xml:space="preserve">Budget risks, with the taka amount at stake.</t>
  </si>
  <si>
    <t xml:space="preserve">Sources</t>
  </si>
  <si>
    <t xml:space="preserve">Every rate, where it came from, and when it was checked.</t>
  </si>
  <si>
    <t xml:space="preserve">Chokro · soft launch 30 September 2026 · Dhaka pilot · base case is Android-first, sole proprietorship, $400 of hired expertise.</t>
  </si>
  <si>
    <t xml:space="preserve">The headline</t>
  </si>
  <si>
    <t xml:space="preserve">BDT</t>
  </si>
  <si>
    <t xml:space="preserve">USD</t>
  </si>
  <si>
    <t xml:space="preserve">What it covers</t>
  </si>
  <si>
    <t xml:space="preserve">To launch — all of September 2026</t>
  </si>
  <si>
    <t xml:space="preserve">Registration, the Play account, both domains, the entire expert budget and the first month of the technology stack. September carries almost every fixed cost in the year.</t>
  </si>
  <si>
    <t xml:space="preserve">Year one — Sep 2026 to Aug 2027</t>
  </si>
  <si>
    <t xml:space="preserve">Everything above plus eleven more months of the technology stack.</t>
  </si>
  <si>
    <t xml:space="preserve">Year two onward — per year</t>
  </si>
  <si>
    <t xml:space="preserve">Licence renewals, both domains and twelve months of technology. No one-time costs, no expert budget.</t>
  </si>
  <si>
    <t xml:space="preserve">By category — year one</t>
  </si>
  <si>
    <t xml:space="preserve">Category</t>
  </si>
  <si>
    <t xml:space="preserve">Share</t>
  </si>
  <si>
    <t xml:space="preserve">Note</t>
  </si>
  <si>
    <t xml:space="preserve">1 — Business registration</t>
  </si>
  <si>
    <t xml:space="preserve">Sole proprietorship. Small because the trade licence IS the registration.</t>
  </si>
  <si>
    <t xml:space="preserve">2 — Technology</t>
  </si>
  <si>
    <t xml:space="preserve">97% of this is the recurring monthly stack, and two thirds of that is Cloudinary alone.</t>
  </si>
  <si>
    <t xml:space="preserve">3 — Hired expertise</t>
  </si>
  <si>
    <t xml:space="preserve">$400 one-time, funding 11 of the 35 days that must happen before launch.</t>
  </si>
  <si>
    <t xml:space="preserve">Total year one</t>
  </si>
  <si>
    <t xml:space="preserve">Cross-check against the Cash Flow tab (should be zero)</t>
  </si>
  <si>
    <t xml:space="preserve">The categories and the month-by-month view are built from the same cells, so any difference here means a broken reference.</t>
  </si>
  <si>
    <t xml:space="preserve">Scenarios — year one</t>
  </si>
  <si>
    <t xml:space="preserve">Scenario</t>
  </si>
  <si>
    <t xml:space="preserve">vs base</t>
  </si>
  <si>
    <t xml:space="preserve">Base case — this workbook</t>
  </si>
  <si>
    <t xml:space="preserve">Android-first, sole proprietorship, $400 of expertise, 24 days of founder time.</t>
  </si>
  <si>
    <t xml:space="preserve">+ trademark filed</t>
  </si>
  <si>
    <t xml:space="preserve">Add before a sponsor's logo goes anywhere near the brand.</t>
  </si>
  <si>
    <t xml:space="preserve">+ iOS at launch</t>
  </si>
  <si>
    <t xml:space="preserve">Mac plus the Apple Developer Program. Also adds 5–14 days of D-U-N-S wait to the critical path.</t>
  </si>
  <si>
    <t xml:space="preserve">+ the 24-day gap closed</t>
  </si>
  <si>
    <t xml:space="preserve">One more contractor month. Removes the plan's single largest dependency.</t>
  </si>
  <si>
    <t xml:space="preserve">All of the above</t>
  </si>
  <si>
    <t xml:space="preserve">The fully-resourced version of the same launch.</t>
  </si>
  <si>
    <t xml:space="preserve">Funding ask</t>
  </si>
  <si>
    <t xml:space="preserve">Ask</t>
  </si>
  <si>
    <t xml:space="preserve">What the money unlocks</t>
  </si>
  <si>
    <t xml:space="preserve">Already committed by the founder</t>
  </si>
  <si>
    <t xml:space="preserve">A soft launch on 30 September 2026: Android, Dhaka pilot across 3–5 anchor wards and campuses, the security and audit lanes closed by a specialist, and a production-grade screening provider.</t>
  </si>
  <si>
    <t xml:space="preserve">Close the engineering gap</t>
  </si>
  <si>
    <t xml:space="preserve">All 35 pre-launch days done by a specialist instead of 24 of them by the founder. Buys back the founder's September for pilot operations, ward partnerships and sponsor conversations — which is where a sponsor's money compounds fastest.</t>
  </si>
  <si>
    <t xml:space="preserve">iOS at launch</t>
  </si>
  <si>
    <t xml:space="preserve">iOS users from day one rather than a later release. Matters for institutional and corporate pilots more than for ward residents.</t>
  </si>
  <si>
    <t xml:space="preserve">Bring the Cloudinary migration forward</t>
  </si>
  <si>
    <t xml:space="preserve">Cuts the monthly run rate by about two thirds, permanently, and pays for itself in under three months. The cheapest durable improvement to Chokro's unit economics available right now.</t>
  </si>
  <si>
    <t xml:space="preserve">Fully funded year one</t>
  </si>
  <si>
    <t xml:space="preserve">What this budget is not hiding: $400 of hired expertise against 35 days of necessary work means 24 of those days are founder time, and the plan has no redundancy if that time disappears. The $400 has been pointed at the three lanes that cannot be corrected quietly after launch — unrun security and audit lanes, a real-device pass, and replacing a preview-grade AI dependency — so a slip delays polish rather than exposing users. Every estimate that has not been quoted is marked as such on the Sources tab.</t>
  </si>
  <si>
    <t xml:space="preserve">Assumptions &amp; Rates</t>
  </si>
  <si>
    <t xml:space="preserve">Blue cells are inputs — change them and every tab re-prices. Yellow cells are the assumptions most worth challenging.</t>
  </si>
  <si>
    <t xml:space="preserve">Currency and scale</t>
  </si>
  <si>
    <t xml:space="preserve">Driver</t>
  </si>
  <si>
    <t xml:space="preserve">Value</t>
  </si>
  <si>
    <t xml:space="preserve">Basis</t>
  </si>
  <si>
    <t xml:space="preserve">USD / BDT exchange rate</t>
  </si>
  <si>
    <t xml:space="preserve">Bangladesh Bank mid-rate band, checked 30 Aug 2026. The single most load-bearing cell in this workbook.</t>
  </si>
  <si>
    <t xml:space="preserve">Soft launch date</t>
  </si>
  <si>
    <t xml:space="preserve">30 Sep 2026</t>
  </si>
  <si>
    <t xml:space="preserve">Arnish, 29 Aug 2026.</t>
  </si>
  <si>
    <t xml:space="preserve">Pilot registered users</t>
  </si>
  <si>
    <t xml:space="preserve">Dhaka pilot target across 3–5 anchor wards / campuses.</t>
  </si>
  <si>
    <t xml:space="preserve">Monthly active rate</t>
  </si>
  <si>
    <t xml:space="preserve">Assumption carried from the technology cost model.</t>
  </si>
  <si>
    <t xml:space="preserve">Monthly active users</t>
  </si>
  <si>
    <t xml:space="preserve">Screenings per active user / month</t>
  </si>
  <si>
    <t xml:space="preserve">4 disposals + 1 reward claim. Each is one vision-API call.</t>
  </si>
  <si>
    <t xml:space="preserve">Screenings per month</t>
  </si>
  <si>
    <t xml:space="preserve">Labour — Dhaka freelance specialist, per day</t>
  </si>
  <si>
    <t xml:space="preserve">Rate band</t>
  </si>
  <si>
    <t xml:space="preserve">BDT / day</t>
  </si>
  <si>
    <t xml:space="preserve">USD / day</t>
  </si>
  <si>
    <t xml:space="preserve">Low</t>
  </si>
  <si>
    <t xml:space="preserve">Derived from Dhaka mid/senior salary bands (৳30k–250k/mo) plus a freelance premium. See Sources.</t>
  </si>
  <si>
    <t xml:space="preserve">Mid — used throughout this plan</t>
  </si>
  <si>
    <t xml:space="preserve">High</t>
  </si>
  <si>
    <t xml:space="preserve">Working days per month</t>
  </si>
  <si>
    <t xml:space="preserve">Sunday–Thursday working week.</t>
  </si>
  <si>
    <t xml:space="preserve">Vendor rates</t>
  </si>
  <si>
    <t xml:space="preserve">Item</t>
  </si>
  <si>
    <t xml:space="preserve">Unit</t>
  </si>
  <si>
    <t xml:space="preserve">Cloudinary Plus</t>
  </si>
  <si>
    <t xml:space="preserve">per month</t>
  </si>
  <si>
    <t xml:space="preserve">225 credits. Free tier is 25 and the pilot burns ~63 in month one.</t>
  </si>
  <si>
    <t xml:space="preserve">Gemini 2.5 Flash-Lite (paid tier)</t>
  </si>
  <si>
    <t xml:space="preserve">per screening</t>
  </si>
  <si>
    <t xml:space="preserve">2,000 in + 150 out tokens per call, Vertex AI paid tier.</t>
  </si>
  <si>
    <t xml:space="preserve">Render Starter — app server</t>
  </si>
  <si>
    <t xml:space="preserve">Always-on Node instance.</t>
  </si>
  <si>
    <t xml:space="preserve">Sentry Team — error monitoring</t>
  </si>
  <si>
    <t xml:space="preserve">Arnish, 2 Sep 2026.</t>
  </si>
  <si>
    <t xml:space="preserve">Firebase Blaze at pilot scale</t>
  </si>
  <si>
    <t xml:space="preserve">Auth free to 50k MAU; Firestore reads ~free; 100 GB egress free.</t>
  </si>
  <si>
    <t xml:space="preserve">Redis — Upstash free tier</t>
  </si>
  <si>
    <t xml:space="preserve">Required before a second server instance, not before.</t>
  </si>
  <si>
    <t xml:space="preserve">Apple Developer Program</t>
  </si>
  <si>
    <t xml:space="preserve">per year</t>
  </si>
  <si>
    <t xml:space="preserve">Deferrable — see Decisions.</t>
  </si>
  <si>
    <t xml:space="preserve">Google Play developer account</t>
  </si>
  <si>
    <t xml:space="preserve">one-time</t>
  </si>
  <si>
    <t xml:space="preserve">One-time, non-refundable.</t>
  </si>
  <si>
    <t xml:space="preserve">.com domain</t>
  </si>
  <si>
    <t xml:space="preserve">Local registrar.</t>
  </si>
  <si>
    <t xml:space="preserve">.com.bd domain</t>
  </si>
  <si>
    <t xml:space="preserve">BTCL.</t>
  </si>
  <si>
    <t xml:space="preserve">Mac mini for iOS builds</t>
  </si>
  <si>
    <t xml:space="preserve">ESTIMATE — Arnish has not confirmed whether a Mac is available.</t>
  </si>
  <si>
    <t xml:space="preserve">Note on the screening provider: Arnish's draft budget listed Groq vision at ৳1,525/month. Groq's qwen vision model is PREVIEW-only and Groq's production catalogue contains no vision model at all, so it cannot carry a live app. This workbook prices Gemini 2.5 Flash-Lite on the paid tier instead — 6.3× cheaper and generally available. The paid tier is not a cost choice but a consent one: on Google's unpaid tier, human reviewers may read submitted content, and Chokro submits user photographs tied to GPS and identity.</t>
  </si>
  <si>
    <t xml:space="preserve">Category 1 — Business Registration</t>
  </si>
  <si>
    <t xml:space="preserve">Sole proprietorship, Dhaka North City Corporation. Figures supplied by Arnish, 2 Sep 2026, except where noted.</t>
  </si>
  <si>
    <t xml:space="preserve">One-time</t>
  </si>
  <si>
    <t xml:space="preserve">Licence book / form / processing</t>
  </si>
  <si>
    <t xml:space="preserve">Midpoint of Arnish's ৳270–500 range.</t>
  </si>
  <si>
    <t xml:space="preserve">Documentation and photocopy</t>
  </si>
  <si>
    <t xml:space="preserve">Midpoint of Arnish's ৳200–500 range.</t>
  </si>
  <si>
    <t xml:space="preserve">Bank account opening — minimum balance</t>
  </si>
  <si>
    <t xml:space="preserve">Current-account minimum. Recoverable, but it is cash you cannot spend.</t>
  </si>
  <si>
    <t xml:space="preserve">e-TIN registration</t>
  </si>
  <si>
    <t xml:space="preserve">Free, NBR online. Still required.</t>
  </si>
  <si>
    <t xml:space="preserve">BIN / VAT registration (Mushak 2.1)</t>
  </si>
  <si>
    <t xml:space="preserve">Free, NBR online. Required to invoice EPR clients.</t>
  </si>
  <si>
    <t xml:space="preserve">D-U-N-S number</t>
  </si>
  <si>
    <t xml:space="preserve">Free, 5–14 days. Only needed if an Apple company account is opened.</t>
  </si>
  <si>
    <t xml:space="preserve">Total one-time</t>
  </si>
  <si>
    <t xml:space="preserve">Annual — these renew every year</t>
  </si>
  <si>
    <t xml:space="preserve">BDT / year</t>
  </si>
  <si>
    <t xml:space="preserve">USD / year</t>
  </si>
  <si>
    <t xml:space="preserve">DNCC Trade Licence fee — Category 253</t>
  </si>
  <si>
    <t xml:space="preserve">Arnish. Annual renewal, not a one-time cost.</t>
  </si>
  <si>
    <t xml:space="preserve">Signboard tax</t>
  </si>
  <si>
    <t xml:space="preserve">Applies if a signboard is displayed.</t>
  </si>
  <si>
    <t xml:space="preserve">VAT on licence fees</t>
  </si>
  <si>
    <t xml:space="preserve">15% of licence fee plus signboard tax. Reproduces Arnish's ৳372 exactly.</t>
  </si>
  <si>
    <t xml:space="preserve">Source tax</t>
  </si>
  <si>
    <t xml:space="preserve">Arnish notes this depends on applicable rules — treat as annual and confirm with the ward office.</t>
  </si>
  <si>
    <t xml:space="preserve">Total annual</t>
  </si>
  <si>
    <t xml:space="preserve">Optional but recommended</t>
  </si>
  <si>
    <t xml:space="preserve">Trademark registration — চক্র / Chokro, one class</t>
  </si>
  <si>
    <t xml:space="preserve">≈৳3,500 government fee plus ≈৳5,000 agent fee, one class, DPDT. ESTIMATE — not yet quoted. File before a sponsor's logo appears next to the brand: association is the thing they are buying.</t>
  </si>
  <si>
    <t xml:space="preserve">CATEGORY 1 — YEAR ONE TOTAL (excl. trademark)</t>
  </si>
  <si>
    <t xml:space="preserve">CATEGORY 1 — YEAR ONE TOTAL (incl. trademark)</t>
  </si>
  <si>
    <t xml:space="preserve">CATEGORY 1 — YEAR TWO ONWARD, per year</t>
  </si>
  <si>
    <t xml:space="preserve">Why this category is small: as a sole proprietorship the trade licence IS the registration. A private limited company would add RJSC name clearance, incorporation, stamp duty scaled to authorised capital and agent fees — roughly ৳15,000–40,000 more. Arnish chose sole proprietorship on 2 Sep 2026. Worth revisiting before signing an EPR compliance contract, because a limited company limits personal liability and most corporate procurement departments prefer one.</t>
  </si>
  <si>
    <t xml:space="preserve">Category 2 — Technology</t>
  </si>
  <si>
    <t xml:space="preserve">Priced at Dhaka pilot scale: 5,000 registered users, 1,500 monthly active, 7,500 screenings per month.</t>
  </si>
  <si>
    <t xml:space="preserve">In base case?</t>
  </si>
  <si>
    <t xml:space="preserve">Yes</t>
  </si>
  <si>
    <t xml:space="preserve">One-time, non-refundable. Required for the Android launch.</t>
  </si>
  <si>
    <t xml:space="preserve">DEFERRED</t>
  </si>
  <si>
    <t xml:space="preserve">You cannot build or submit an iOS app without one. Excluded from the base case — see Decisions, lever 1.</t>
  </si>
  <si>
    <t xml:space="preserve">n/a</t>
  </si>
  <si>
    <t xml:space="preserve">Free. Only on the iOS path.</t>
  </si>
  <si>
    <t xml:space="preserve">Total one-time — base case (Android-first)</t>
  </si>
  <si>
    <t xml:space="preserve">Total one-time — with iOS</t>
  </si>
  <si>
    <t xml:space="preserve">Annual</t>
  </si>
  <si>
    <t xml:space="preserve">Renews annually. Excluded from the base case with the Mac.</t>
  </si>
  <si>
    <t xml:space="preserve">Marketing site.</t>
  </si>
  <si>
    <t xml:space="preserve">Local credibility, and it matters to Bangladeshi institutional clients.</t>
  </si>
  <si>
    <t xml:space="preserve">Total annual — base case</t>
  </si>
  <si>
    <t xml:space="preserve">Total annual — with iOS</t>
  </si>
  <si>
    <t xml:space="preserve">Monthly — the recurring stack at pilot scale</t>
  </si>
  <si>
    <t xml:space="preserve">BDT / month</t>
  </si>
  <si>
    <t xml:space="preserve">USD / month</t>
  </si>
  <si>
    <t xml:space="preserve">Share of stack</t>
  </si>
  <si>
    <t xml:space="preserve">Image hosting — Cloudinary Plus</t>
  </si>
  <si>
    <t xml:space="preserve">Storage, bandwidth and on-the-fly derivations. The single largest line in the whole budget.</t>
  </si>
  <si>
    <t xml:space="preserve">AI screening — Gemini 2.5 Flash-Lite</t>
  </si>
  <si>
    <t xml:space="preserve">One call per disposal and per reward claim. Scales linearly with volume, no economy of scale.</t>
  </si>
  <si>
    <t xml:space="preserve">App server — Render Starter</t>
  </si>
  <si>
    <t xml:space="preserve">Error monitoring — Sentry Team</t>
  </si>
  <si>
    <t xml:space="preserve">Firebase Blaze — Auth, Firestore, Storage</t>
  </si>
  <si>
    <t xml:space="preserve">৳0 at pilot but a billing account with a card on file is required from day one. Auth becomes ~$505/mo at 150k MAU — see Risks.</t>
  </si>
  <si>
    <t xml:space="preserve">৳0 at pilot on a single instance. Becomes mandatory the moment a second instance runs — see Risks.</t>
  </si>
  <si>
    <t xml:space="preserve">Total monthly</t>
  </si>
  <si>
    <t xml:space="preserve">Total monthly × 12</t>
  </si>
  <si>
    <t xml:space="preserve">CATEGORY 2 — YEAR ONE TOTAL (base case, Android-first)</t>
  </si>
  <si>
    <t xml:space="preserve">CATEGORY 2 — YEAR ONE TOTAL (with iOS at launch)</t>
  </si>
  <si>
    <t xml:space="preserve">CATEGORY 2 — YEAR TWO ONWARD, per year (base case)</t>
  </si>
  <si>
    <t xml:space="preserve">Unit convention: every figure above is labelled with its period. This is not pedantry. Cloudinary at ৳12,198 per MONTH and the Apple Developer Program at ৳12,198 per YEAR are the same number for entirely different periods, and a budget that lists them in one column without units understates the year by a factor of seven.</t>
  </si>
  <si>
    <t xml:space="preserve">Cloudinary is roughly two thirds of the monthly stack. There is a known six-day engineering change that removes it and pays for itself in under three months. It is priced on the Decisions tab, lever 2, and deliberately scheduled AFTER launch — those six days would otherwise come out of the 35 days that have to happen before 30 September.</t>
  </si>
  <si>
    <t xml:space="preserve">Category 3 — Hired Expertise</t>
  </si>
  <si>
    <t xml:space="preserve">Arnish has committed $400 one-time. This tab shows exactly what that buys and what it does not.</t>
  </si>
  <si>
    <t xml:space="preserve">The budget</t>
  </si>
  <si>
    <t xml:space="preserve">Expert budget committed</t>
  </si>
  <si>
    <t xml:space="preserve">Arnish, 2 Sep 2026. One-time, total across all lanes.</t>
  </si>
  <si>
    <t xml:space="preserve">Day rate assumed (mid band)</t>
  </si>
  <si>
    <t xml:space="preserve">Change the band on Assumptions to re-price the days funded.</t>
  </si>
  <si>
    <t xml:space="preserve">Specialist days this funds</t>
  </si>
  <si>
    <t xml:space="preserve">At the low band (৳3,500/day) the same budget funds 14.1 days.</t>
  </si>
  <si>
    <t xml:space="preserve">What has to happen before 30 September — 35 days</t>
  </si>
  <si>
    <t xml:space="preserve">Lane</t>
  </si>
  <si>
    <t xml:space="preserve">Days</t>
  </si>
  <si>
    <t xml:space="preserve">Cost (৳)</t>
  </si>
  <si>
    <t xml:space="preserve">Cost ($)</t>
  </si>
  <si>
    <t xml:space="preserve">Funded by the $400?</t>
  </si>
  <si>
    <t xml:space="preserve">35 medium UI/UX audit findings</t>
  </si>
  <si>
    <t xml:space="preserve">Founder time</t>
  </si>
  <si>
    <t xml:space="preserve">Already documented finding-by-finding in UX_AUDIT_OUTSTANDING.md. The lane where Arnish's own product judgement beats a contractor's.</t>
  </si>
  <si>
    <t xml:space="preserve">Three unrun audit lanes</t>
  </si>
  <si>
    <t xml:space="preserve">FUNDED</t>
  </si>
  <si>
    <t xml:space="preserve">Cannot be assessed after launch without exposing users first.</t>
  </si>
  <si>
    <t xml:space="preserve">Staging device pass</t>
  </si>
  <si>
    <t xml:space="preserve">Real handsets on real Dhaka networks. Catches what an emulator cannot.</t>
  </si>
  <si>
    <t xml:space="preserve">Store submission</t>
  </si>
  <si>
    <t xml:space="preserve">Play production access needs 12 testers running the app for 14 consecutive days, then review.</t>
  </si>
  <si>
    <t xml:space="preserve">Groq → Gemini screening adapter</t>
  </si>
  <si>
    <t xml:space="preserve">Removes a preview-model dependency AND permanently reduces manual review volume. Best-value engineering days in the plan.</t>
  </si>
  <si>
    <t xml:space="preserve">Index deploy and release checklist</t>
  </si>
  <si>
    <t xml:space="preserve">Mechanical, low risk.</t>
  </si>
  <si>
    <t xml:space="preserve">Total must-do before launch</t>
  </si>
  <si>
    <t xml:space="preserve">The funded package, and the gap</t>
  </si>
  <si>
    <t xml:space="preserve">Funded by the $400 — one senior contractor</t>
  </si>
  <si>
    <t xml:space="preserve">Audit lanes, staging device pass and the Gemini adapter, given to ONE person rather than split across four. A small budget survives concentration and dies of fragmentation.</t>
  </si>
  <si>
    <t xml:space="preserve">Rate required to fit the funded package into $400</t>
  </si>
  <si>
    <t xml:space="preserve">Within the ৳3,500–6,000 Dhaka band, so the package is achievable — but negotiate the rate before scoping it.</t>
  </si>
  <si>
    <t xml:space="preserve">Unfunded — falls to founder time</t>
  </si>
  <si>
    <t xml:space="preserve">24 of the 35 days. This is the plan's single largest dependency and it has no redundancy.</t>
  </si>
  <si>
    <t xml:space="preserve">Manual review operator — a running cost, not a hire</t>
  </si>
  <si>
    <t xml:space="preserve">Stage</t>
  </si>
  <si>
    <t xml:space="preserve">Heads</t>
  </si>
  <si>
    <t xml:space="preserve">Dhaka pilot — now</t>
  </si>
  <si>
    <t xml:space="preserve">Roughly 25 reviews a day at a minute or two each. Founder absorbs it; the budget line is ৳0.</t>
  </si>
  <si>
    <t xml:space="preserve">City scale — 50k users</t>
  </si>
  <si>
    <t xml:space="preserve">2 operators at ≈৳20,000/month. This is when it becomes payroll.</t>
  </si>
  <si>
    <t xml:space="preserve">National — 500k users</t>
  </si>
  <si>
    <t xml:space="preserve">Scales with disposal volume, not with users. Every screening failure routes to a human by design.</t>
  </si>
  <si>
    <t xml:space="preserve">CATEGORY 3 — YEAR ONE TOTAL (pilot: expert budget only)</t>
  </si>
  <si>
    <t xml:space="preserve">The honest position for a sponsor: $400 funds 11 of the 35 days that have to happen before 30 September. It has been pointed at the three lanes that cannot be corrected quietly after launch — the unrun security and audit lanes, a real-device pass, and replacing a preview-grade AI dependency. The remaining 24 days rest on founder time. Closing that gap costs about $925 more; the Budget Summary tab prices it as a funding ask.</t>
  </si>
  <si>
    <t xml:space="preserve">Monthly Run Rate by Scale</t>
  </si>
  <si>
    <t xml:space="preserve">The pilot column is live from the Technology tab. City and national are INDICATIVE, carried from the technology cost model.</t>
  </si>
  <si>
    <t xml:space="preserve">USD per month</t>
  </si>
  <si>
    <t xml:space="preserve">Line</t>
  </si>
  <si>
    <t xml:space="preserve">Pilot — 5k users</t>
  </si>
  <si>
    <t xml:space="preserve">City — 50k users</t>
  </si>
  <si>
    <t xml:space="preserve">Image hosting — Cloudinary</t>
  </si>
  <si>
    <t xml:space="preserve">Credit-based tiers, not linear. The dominant line at every scale.</t>
  </si>
  <si>
    <t xml:space="preserve">Perfectly linear at $0.00026 per screening. Groq would have been 6.3× this.</t>
  </si>
  <si>
    <t xml:space="preserve">App server and compute</t>
  </si>
  <si>
    <t xml:space="preserve">Render Starter → Pro → Cloud Run.</t>
  </si>
  <si>
    <t xml:space="preserve">Error monitoring — Sentry</t>
  </si>
  <si>
    <t xml:space="preserve">Team tier holds to city scale; national needs a tier upgrade. ESTIMATE.</t>
  </si>
  <si>
    <t xml:space="preserve">Firebase Auth</t>
  </si>
  <si>
    <t xml:space="preserve">Free to 50k MAU, then $0.0055/MAU. The cliff nobody budgets for.</t>
  </si>
  <si>
    <t xml:space="preserve">Firestore, Storage and egress</t>
  </si>
  <si>
    <t xml:space="preserve">Firestore reads are ~free even at national. Egress is the variable part.</t>
  </si>
  <si>
    <t xml:space="preserve">Manual review operators</t>
  </si>
  <si>
    <t xml:space="preserve">From the People tab. Scales with disposal volume, not users.</t>
  </si>
  <si>
    <t xml:space="preserve">Total USD per month</t>
  </si>
  <si>
    <t xml:space="preserve">Total BDT per month</t>
  </si>
  <si>
    <t xml:space="preserve">Total BDT per year</t>
  </si>
  <si>
    <t xml:space="preserve">Read this tab as a warning, not a forecast. Two lines behave badly as Chokro grows: Firebase Auth is free until 50,000 monthly active users and then costs $0.0055 each — about $505 a month at 150k MAU, appearing in a single billing cycle with no warning. And manual review operators scale with how much rubbish gets disposed of, not with how many people sign up, so they are the line that turns a software margin into a services margin. Both are structural, and both are cheaper to design around now than to discover later.</t>
  </si>
  <si>
    <t xml:space="preserve">Cash Flow — September 2026 to August 2027</t>
  </si>
  <si>
    <t xml:space="preserve">Base case: Android-first, sole proprietorship, $400 expert budget. All figures BDT.</t>
  </si>
  <si>
    <t xml:space="preserve">Sep 26</t>
  </si>
  <si>
    <t xml:space="preserve">Oct 26</t>
  </si>
  <si>
    <t xml:space="preserve">Nov 26</t>
  </si>
  <si>
    <t xml:space="preserve">Dec 26</t>
  </si>
  <si>
    <t xml:space="preserve">Jan 27</t>
  </si>
  <si>
    <t xml:space="preserve">Feb 27</t>
  </si>
  <si>
    <t xml:space="preserve">Mar 27</t>
  </si>
  <si>
    <t xml:space="preserve">Apr 27</t>
  </si>
  <si>
    <t xml:space="preserve">May 27</t>
  </si>
  <si>
    <t xml:space="preserve">Jun 27</t>
  </si>
  <si>
    <t xml:space="preserve">Jul 27</t>
  </si>
  <si>
    <t xml:space="preserve">Aug 27</t>
  </si>
  <si>
    <t xml:space="preserve">Year 1 total</t>
  </si>
  <si>
    <t xml:space="preserve">Registration — one-time</t>
  </si>
  <si>
    <t xml:space="preserve">Registration — annual licences</t>
  </si>
  <si>
    <t xml:space="preserve">Google Play account</t>
  </si>
  <si>
    <t xml:space="preserve">Domains — annual</t>
  </si>
  <si>
    <t xml:space="preserve">Hired expertise</t>
  </si>
  <si>
    <t xml:space="preserve">Technology — monthly stack</t>
  </si>
  <si>
    <t xml:space="preserve">TOTAL OUT</t>
  </si>
  <si>
    <t xml:space="preserve">Cumulative</t>
  </si>
  <si>
    <t xml:space="preserve">Optional additions — not included in the totals above</t>
  </si>
  <si>
    <t xml:space="preserve">When</t>
  </si>
  <si>
    <t xml:space="preserve">Trademark — চক্র / Chokro</t>
  </si>
  <si>
    <t xml:space="preserve">Before first sponsor logo</t>
  </si>
  <si>
    <t xml:space="preserve">Cheap insurance on the one asset a sponsor is buying association with.</t>
  </si>
  <si>
    <t xml:space="preserve">Mac mini + Apple Developer (iOS path)</t>
  </si>
  <si>
    <t xml:space="preserve">Only if iOS at launch</t>
  </si>
  <si>
    <t xml:space="preserve">Deferred in the base case. See Decisions, lever 1.</t>
  </si>
  <si>
    <t xml:space="preserve">Closing the 24-day founder-time gap</t>
  </si>
  <si>
    <t xml:space="preserve">September</t>
  </si>
  <si>
    <t xml:space="preserve">One more contractor month. Priced as a funding ask on Budget Summary.</t>
  </si>
  <si>
    <t xml:space="preserve">September carries almost the entire fixed cost of the year — registration, the store account, both domains and the whole expert budget land in the launch month, on top of the first month of the technology stack. From October the business burns a flat monthly rate. If cash is tight, the two domains and the trademark are the only lines that can slip without touching the launch.</t>
  </si>
  <si>
    <t xml:space="preserve">Five Costed Decisions</t>
  </si>
  <si>
    <t xml:space="preserve">Each lever is priced. The recommendation column is the position this budget takes; the reasoning is there so it can be argued with.</t>
  </si>
  <si>
    <t xml:space="preserve">Lever</t>
  </si>
  <si>
    <t xml:space="preserve">One-off cost (৳)</t>
  </si>
  <si>
    <t xml:space="preserve">Saving (৳/month)</t>
  </si>
  <si>
    <t xml:space="preserve">Year-1 effect (৳)</t>
  </si>
  <si>
    <t xml:space="preserve">Payback</t>
  </si>
  <si>
    <t xml:space="preserve">Recommendation</t>
  </si>
  <si>
    <t xml:space="preserve">Why</t>
  </si>
  <si>
    <t xml:space="preserve">Cloudinary replacement cost after migration (৳/month)</t>
  </si>
  <si>
    <t xml:space="preserve">Firebase Storage plus a CDN at pilot volume. Input used by lever 2.</t>
  </si>
  <si>
    <t xml:space="preserve">1 — Launch Android-first, defer iOS</t>
  </si>
  <si>
    <t xml:space="preserve">DEFER iOS</t>
  </si>
  <si>
    <t xml:space="preserve">The largest single lever in the budget. Play Store production access already needs 12 testers running the app for 14 consecutive days plus a review; adding Apple's D-U-N-S wait (5–14 days) on top makes 30 September unreachable. Deferring costs Chokro no iOS users at pilot scale, where the users are students and ward residents on Android.</t>
  </si>
  <si>
    <t xml:space="preserve">2 — Migrate Cloudinary → Firebase Storage</t>
  </si>
  <si>
    <t xml:space="preserve">SCHEDULE FOR OCTOBER</t>
  </si>
  <si>
    <t xml:space="preserve">Cloudinary is roughly two thirds of the monthly stack. Six days of work removes it and pays back in under three months. Deliberately NOT before launch: those six days would come out of the 35 that must happen by 30 September. The real work is pre-generating image derivatives — Firebase Storage cannot resize on the fly, and without derivatives egress rises about 30× because every thumbnail pulls the full original.</t>
  </si>
  <si>
    <t xml:space="preserve">3 — Replace Groq with Gemini 2.5 Flash-Lite (paid)</t>
  </si>
  <si>
    <t xml:space="preserve">DO BEFORE LAUNCH</t>
  </si>
  <si>
    <t xml:space="preserve">Already inside the funded $400 package. The money is the least of it: Groq's vision model is PREVIEW-grade with no production equivalent in Groq's catalogue, and Gemini's paid tier is a consent requirement — on the unpaid tier Google may have human reviewers read submitted content, and Chokro submits user photographs tied to GPS and identity. Gemini's responseSchema also enforces the verdict shape, which cuts malformed results that would otherwise each become a paid manual review.</t>
  </si>
  <si>
    <t xml:space="preserve">4 — File the trademark চক্র / Chokro</t>
  </si>
  <si>
    <t xml:space="preserve">FILE BEFORE FIRST SPONSOR</t>
  </si>
  <si>
    <t xml:space="preserve">A sponsor is buying association with a name. Filing after a sponsor logo is live means negotiating from a weaker position if someone else has filed in the meantime. ৳8,500 against a four-figure sponsorship is not a real cost.</t>
  </si>
  <si>
    <t xml:space="preserve">5 — Register as a private limited company instead</t>
  </si>
  <si>
    <t xml:space="preserve">REVISIT BEFORE FIRST EPR CONTRACT</t>
  </si>
  <si>
    <t xml:space="preserve">Sole proprietorship is right for a pilot and is what this budget assumes. But it gives no liability separation, and corporate procurement — exactly who signs EPR compliance contracts — generally prefers a limited company. The trigger for revisiting is the first real contract, not a date.</t>
  </si>
  <si>
    <t xml:space="preserve">Payback is in months, and is the one-off cost divided by the monthly saving. Levers 1, 4 and 5 have no monthly saving, so payback does not apply to them.</t>
  </si>
  <si>
    <t xml:space="preserve">Budget Risks</t>
  </si>
  <si>
    <t xml:space="preserve">Only risks with a money consequence. Product and schedule risks live in the launch planner.</t>
  </si>
  <si>
    <t xml:space="preserve">Risk</t>
  </si>
  <si>
    <t xml:space="preserve">Exposure (৳)</t>
  </si>
  <si>
    <t xml:space="preserve">Exposure ($)</t>
  </si>
  <si>
    <t xml:space="preserve">Window</t>
  </si>
  <si>
    <t xml:space="preserve">Mitigation and detail</t>
  </si>
  <si>
    <t xml:space="preserve">Cloudinary soft-limit disables the account</t>
  </si>
  <si>
    <t xml:space="preserve">From launch</t>
  </si>
  <si>
    <t xml:space="preserve">Cloudinary's tiers are SOFT-limit: exceeding credits does not bill overage, it warns and then disables the account. On a live app every image stops loading at once, with no pay-as-you-go safety valve. Direct budget exposure is ৳0, which is exactly what makes it dangerous. The pilot already consumes about 63 of the free tier's 25 credits in month one, so Plus is budgeted from launch. MITIGATION: monitor credits weekly; lever 2 removes the dependency entirely.</t>
  </si>
  <si>
    <t xml:space="preserve">Taka depreciates 10% against the dollar</t>
  </si>
  <si>
    <t xml:space="preserve">Any time</t>
  </si>
  <si>
    <t xml:space="preserve">About 79% of year-one spend is USD-billed on an international card. A 10% move costs the amount shown, and it arrives silently across twelve card statements. MITIGATION: the exchange rate is a single input cell — re-price quarterly. Levers 2 and 3 consolidate four USD vendors down to two, which also reduces card and forex friction.</t>
  </si>
  <si>
    <t xml:space="preserve">24 unfunded days rest on one person</t>
  </si>
  <si>
    <t xml:space="preserve">The amount shown is what it would cost to backfill those days at the mid rate if Arnish is unavailable — illness, coursework, anything. There is no redundancy in the plan. MITIGATION: the $400 was pointed at the lanes that cannot be fixed after launch, so a slip delays polish rather than exposing users.</t>
  </si>
  <si>
    <t xml:space="preserve">Play production access delays the launch</t>
  </si>
  <si>
    <t xml:space="preserve">Sep–Oct</t>
  </si>
  <si>
    <t xml:space="preserve">Google Play accounts created after Nov 2023 need 12 testers running the app for 14 consecutive days, then a production-access review — realistically 2–4 weeks. The exposure shown is one month of run rate burned with no launch. MITIGATION: start the tester cohort immediately; it is free and it is the longest lead time in the plan.</t>
  </si>
  <si>
    <t xml:space="preserve">Firebase Auth crosses the 50k MAU free tier</t>
  </si>
  <si>
    <t xml:space="preserve">Year 2</t>
  </si>
  <si>
    <t xml:space="preserve">Auth is free to 50,000 monthly active users, then $0.0055 each. At 150k MAU that is about $505 a month, appearing in one billing cycle. ৳0 in this budget and the largest single new line in next year's. MITIGATION: model it into the year-2 plan before the city-scale rollout, not after.</t>
  </si>
  <si>
    <t xml:space="preserve">rateLimit.js counters are per-process</t>
  </si>
  <si>
    <t xml:space="preserve">On scaling out</t>
  </si>
  <si>
    <t xml:space="preserve">The rate limiter holds its counters in process memory — its own code comment says so. A second server instance doubles every limit and removes the ceiling on AI spend; the exposure shown is a 10× overrun on the screening line. MITIGATION: shared Redis before a second instance ever runs. Upstash's free tier covers pilot volume, so this is engineering time, not budget.</t>
  </si>
  <si>
    <t xml:space="preserve">Every figure in this workbook, where it came from, and how much to trust it.</t>
  </si>
  <si>
    <t xml:space="preserve">Figure</t>
  </si>
  <si>
    <t xml:space="preserve">Checked</t>
  </si>
  <si>
    <t xml:space="preserve">Source</t>
  </si>
  <si>
    <t xml:space="preserve">Confidence</t>
  </si>
  <si>
    <t xml:space="preserve">DNCC trade licence, category 253 · signboard tax · VAT · source tax</t>
  </si>
  <si>
    <t xml:space="preserve">৳2,000 · 480 · 372 · 3,000</t>
  </si>
  <si>
    <t xml:space="preserve">2 Sep 2026</t>
  </si>
  <si>
    <t xml:space="preserve">Arnish, supplied directly. VAT reproduced as 15% of licence + signboard.</t>
  </si>
  <si>
    <t xml:space="preserve">Supplied by client</t>
  </si>
  <si>
    <t xml:space="preserve">Licence book/form · documentation</t>
  </si>
  <si>
    <t xml:space="preserve">৳270–500 · 200–500</t>
  </si>
  <si>
    <t xml:space="preserve">Arnish, supplied as ranges. Midpoints used.</t>
  </si>
  <si>
    <t xml:space="preserve">Bank account minimum balance</t>
  </si>
  <si>
    <t xml:space="preserve">৳2,000</t>
  </si>
  <si>
    <t xml:space="preserve">Typical Bangladeshi current-account minimum.</t>
  </si>
  <si>
    <t xml:space="preserve">Estimate — confirm with bank</t>
  </si>
  <si>
    <t xml:space="preserve">Trademark, one class</t>
  </si>
  <si>
    <t xml:space="preserve">৳8,500</t>
  </si>
  <si>
    <t xml:space="preserve">≈৳3,500 DPDT government fee plus ≈৳5,000 agent fee.</t>
  </si>
  <si>
    <t xml:space="preserve">Estimate — not quoted</t>
  </si>
  <si>
    <t xml:space="preserve">Private limited incorporation</t>
  </si>
  <si>
    <t xml:space="preserve">৳25,000</t>
  </si>
  <si>
    <t xml:space="preserve">RJSC name clearance, stamp duty and agent fees, mid-range for modest authorised capital.</t>
  </si>
  <si>
    <t xml:space="preserve">$25 one-time</t>
  </si>
  <si>
    <t xml:space="preserve">30 Aug 2026</t>
  </si>
  <si>
    <t xml:space="preserve">Google Play Console published price.</t>
  </si>
  <si>
    <t xml:space="preserve">Vendor published</t>
  </si>
  <si>
    <t xml:space="preserve">$99 / year</t>
  </si>
  <si>
    <t xml:space="preserve">Apple Developer published price.</t>
  </si>
  <si>
    <t xml:space="preserve">.com · .com.bd domains</t>
  </si>
  <si>
    <t xml:space="preserve">৳1,199 · ৳2,500 / yr</t>
  </si>
  <si>
    <t xml:space="preserve">Local registrar · BTCL.</t>
  </si>
  <si>
    <t xml:space="preserve">$99 / month, 225 credits</t>
  </si>
  <si>
    <t xml:space="preserve">Cloudinary published pricing. Free tier 25 credits; Advanced $249/600.</t>
  </si>
  <si>
    <t xml:space="preserve">Gemini 2.5 Flash-Lite</t>
  </si>
  <si>
    <t xml:space="preserve">$0.00026 / screening</t>
  </si>
  <si>
    <t xml:space="preserve">Google Vertex AI published token pricing at 2,000 in + 150 out per call.</t>
  </si>
  <si>
    <t xml:space="preserve">Render app server</t>
  </si>
  <si>
    <t xml:space="preserve">$25 / month (Starter)</t>
  </si>
  <si>
    <t xml:space="preserve">Render published pricing. Pro $85.</t>
  </si>
  <si>
    <t xml:space="preserve">Sentry Team</t>
  </si>
  <si>
    <t xml:space="preserve">$25.90 / month</t>
  </si>
  <si>
    <t xml:space="preserve">Arnish, supplied directly.</t>
  </si>
  <si>
    <t xml:space="preserve">Firestore · Cloud Storage · Identity Platform</t>
  </si>
  <si>
    <t xml:space="preserve">$0.03/100k reads · $0.020/GB-mo · $0.0055/MAU over 50k</t>
  </si>
  <si>
    <t xml:space="preserve">Google Cloud published pricing.</t>
  </si>
  <si>
    <t xml:space="preserve">123.21</t>
  </si>
  <si>
    <t xml:space="preserve">Bangladesh Bank mid-rate band.</t>
  </si>
  <si>
    <t xml:space="preserve">Re-check quarterly</t>
  </si>
  <si>
    <t xml:space="preserve">Dhaka freelance specialist day rate</t>
  </si>
  <si>
    <t xml:space="preserve">৳3,500–6,000</t>
  </si>
  <si>
    <t xml:space="preserve">Derived from bdtechjobs Dhaka salary bands (junior ৳15–60k, mid ৳30–120k, senior ৳80–250k per month) plus a freelance premium.</t>
  </si>
  <si>
    <t xml:space="preserve">Derived</t>
  </si>
  <si>
    <t xml:space="preserve">Remaining engineering work — 35 must-do days</t>
  </si>
  <si>
    <t xml:space="preserve">18+5+3+4+3+2</t>
  </si>
  <si>
    <t xml:space="preserve">Measured against the codebase and UX_AUDIT_OUTSTANDING.md: 42,801 production lines, 58 views, 1,190 tests.</t>
  </si>
  <si>
    <t xml:space="preserve">Measured</t>
  </si>
  <si>
    <t xml:space="preserve">Manual review operator headcount</t>
  </si>
  <si>
    <t xml:space="preserve">0.5 · 2 · 12</t>
  </si>
  <si>
    <t xml:space="preserve">Chokro_Technology_Cost_Model.xlsx, derived from screening volume and failure-to-review routing.</t>
  </si>
  <si>
    <t xml:space="preserve">Play production access requirement</t>
  </si>
  <si>
    <t xml:space="preserve">12 testers × 14 consecutive days</t>
  </si>
  <si>
    <t xml:space="preserve">Google Play policy for personal accounts created after Nov 2023.</t>
  </si>
  <si>
    <t xml:space="preserve">৳120,000</t>
  </si>
  <si>
    <t xml:space="preserve">Indicative Bangladeshi retail. NOT CONFIRMED — Arnish has not said whether a Mac is available.</t>
  </si>
  <si>
    <t xml:space="preserve">Estimate — open question</t>
  </si>
  <si>
    <t xml:space="preserve">Cloudinary replacement cost after migration</t>
  </si>
  <si>
    <t xml:space="preserve">৳150 / month</t>
  </si>
  <si>
    <t xml:space="preserve">Firebase Storage plus CDN at pilot volume.</t>
  </si>
  <si>
    <t xml:space="preserve">Estimate</t>
  </si>
  <si>
    <t xml:space="preserve">Read the confidence column before quoting any figure externally. 'Vendor published' and 'Measured' are solid. 'Supplied by client' means Arnish provided it and it has not been independently verified against a ward-office schedule. 'Estimate' means nobody has been quoted yet — three of these (the Mac, the trademark and private-limited incorporation) are large enough that a real quote should replace the estimate before this budget is committed.</t>
  </si>
</sst>
</file>

<file path=xl/styles.xml><?xml version="1.0" encoding="utf-8"?>
<styleSheet xmlns="http://schemas.openxmlformats.org/spreadsheetml/2006/main">
  <numFmts count="6">
    <numFmt numFmtId="164" formatCode="General"/>
    <numFmt numFmtId="165" formatCode="#,##0;\(#,##0\);\–"/>
    <numFmt numFmtId="166" formatCode="#,##0.00;\(#,##0.00\);\–"/>
    <numFmt numFmtId="167" formatCode="0.0%"/>
    <numFmt numFmtId="168" formatCode="0.00000"/>
    <numFmt numFmtId="169" formatCode="0.0"/>
  </numFmts>
  <fonts count="28">
    <font>
      <sz val="11"/>
      <color theme="1"/>
      <name val="Calibri"/>
      <family val="2"/>
      <charset val="1"/>
    </font>
    <font>
      <sz val="10"/>
      <name val="Arial"/>
      <family val="0"/>
    </font>
    <font>
      <sz val="10"/>
      <name val="Arial"/>
      <family val="0"/>
    </font>
    <font>
      <sz val="10"/>
      <name val="Arial"/>
      <family val="0"/>
    </font>
    <font>
      <b val="true"/>
      <sz val="20"/>
      <color rgb="FF006C4C"/>
      <name val="Arial"/>
      <family val="0"/>
      <charset val="1"/>
    </font>
    <font>
      <sz val="10"/>
      <color rgb="FF6B7280"/>
      <name val="Arial"/>
      <family val="0"/>
      <charset val="1"/>
    </font>
    <font>
      <b val="true"/>
      <sz val="11"/>
      <color rgb="FF004D36"/>
      <name val="Arial"/>
      <family val="0"/>
      <charset val="1"/>
    </font>
    <font>
      <sz val="10"/>
      <color rgb="FF000000"/>
      <name val="Arial"/>
      <family val="0"/>
      <charset val="1"/>
    </font>
    <font>
      <b val="true"/>
      <sz val="10"/>
      <color rgb="FF000000"/>
      <name val="Arial"/>
      <family val="0"/>
      <charset val="1"/>
    </font>
    <font>
      <b val="true"/>
      <sz val="16"/>
      <color rgb="FF006C4C"/>
      <name val="Arial"/>
      <family val="0"/>
      <charset val="1"/>
    </font>
    <font>
      <i val="true"/>
      <sz val="9"/>
      <color rgb="FF6B7280"/>
      <name val="Arial"/>
      <family val="0"/>
      <charset val="1"/>
    </font>
    <font>
      <b val="true"/>
      <sz val="9"/>
      <color rgb="FFFFFFFF"/>
      <name val="Arial"/>
      <family val="0"/>
      <charset val="1"/>
    </font>
    <font>
      <b val="true"/>
      <sz val="11"/>
      <color rgb="FF000000"/>
      <name val="Arial"/>
      <family val="0"/>
      <charset val="1"/>
    </font>
    <font>
      <b val="true"/>
      <sz val="13"/>
      <color rgb="FF008000"/>
      <name val="Arial"/>
      <family val="0"/>
      <charset val="1"/>
    </font>
    <font>
      <sz val="8.5"/>
      <color rgb="FF6B7280"/>
      <name val="Arial"/>
      <family val="0"/>
      <charset val="1"/>
    </font>
    <font>
      <sz val="10"/>
      <color rgb="FF008000"/>
      <name val="Arial"/>
      <family val="0"/>
      <charset val="1"/>
    </font>
    <font>
      <b val="true"/>
      <sz val="10"/>
      <color rgb="FF004D36"/>
      <name val="Arial"/>
      <family val="0"/>
      <charset val="1"/>
    </font>
    <font>
      <sz val="9"/>
      <color rgb="FF6B7280"/>
      <name val="Arial"/>
      <family val="0"/>
      <charset val="1"/>
    </font>
    <font>
      <sz val="9"/>
      <color rgb="FF000000"/>
      <name val="Arial"/>
      <family val="0"/>
      <charset val="1"/>
    </font>
    <font>
      <b val="true"/>
      <sz val="10"/>
      <color rgb="FF008000"/>
      <name val="Arial"/>
      <family val="0"/>
      <charset val="1"/>
    </font>
    <font>
      <i val="true"/>
      <sz val="8.5"/>
      <color rgb="FF6B7280"/>
      <name val="Arial"/>
      <family val="0"/>
      <charset val="1"/>
    </font>
    <font>
      <sz val="10"/>
      <color rgb="FF0000FF"/>
      <name val="Arial"/>
      <family val="0"/>
      <charset val="1"/>
    </font>
    <font>
      <sz val="10"/>
      <color rgb="FFE4A11B"/>
      <name val="Arial"/>
      <family val="0"/>
      <charset val="1"/>
    </font>
    <font>
      <b val="true"/>
      <sz val="10"/>
      <color rgb="FF006C4C"/>
      <name val="Arial"/>
      <family val="0"/>
      <charset val="1"/>
    </font>
    <font>
      <b val="true"/>
      <sz val="9"/>
      <color rgb="FF006C4C"/>
      <name val="Arial"/>
      <family val="0"/>
      <charset val="1"/>
    </font>
    <font>
      <sz val="8.5"/>
      <color rgb="FF000000"/>
      <name val="Arial"/>
      <family val="0"/>
      <charset val="1"/>
    </font>
    <font>
      <sz val="8.5"/>
      <color rgb="FFE4A11B"/>
      <name val="Arial"/>
      <family val="0"/>
      <charset val="1"/>
    </font>
    <font>
      <sz val="8.5"/>
      <color rgb="FF006C4C"/>
      <name val="Arial"/>
      <family val="0"/>
      <charset val="1"/>
    </font>
  </fonts>
  <fills count="6">
    <fill>
      <patternFill patternType="none"/>
    </fill>
    <fill>
      <patternFill patternType="gray125"/>
    </fill>
    <fill>
      <patternFill patternType="solid">
        <fgColor rgb="FF006C4C"/>
        <bgColor rgb="FF008080"/>
      </patternFill>
    </fill>
    <fill>
      <patternFill patternType="solid">
        <fgColor rgb="FFE8F0EB"/>
        <bgColor rgb="FFF0F5F2"/>
      </patternFill>
    </fill>
    <fill>
      <patternFill patternType="solid">
        <fgColor rgb="FFFFF6D6"/>
        <bgColor rgb="FFF0F5F2"/>
      </patternFill>
    </fill>
    <fill>
      <patternFill patternType="solid">
        <fgColor rgb="FFF0F5F2"/>
        <bgColor rgb="FFE8F0EB"/>
      </patternFill>
    </fill>
  </fills>
  <borders count="4">
    <border diagonalUp="false" diagonalDown="false">
      <left/>
      <right/>
      <top/>
      <bottom/>
      <diagonal/>
    </border>
    <border diagonalUp="false" diagonalDown="false">
      <left/>
      <right/>
      <top/>
      <bottom style="thin">
        <color rgb="FFD7E2DB"/>
      </bottom>
      <diagonal/>
    </border>
    <border diagonalUp="false" diagonalDown="false">
      <left/>
      <right/>
      <top/>
      <bottom style="medium">
        <color rgb="FF006C4C"/>
      </bottom>
      <diagonal/>
    </border>
    <border diagonalUp="false" diagonalDown="false">
      <left style="thin">
        <color rgb="FFD7E2DB"/>
      </left>
      <right style="thin">
        <color rgb="FFD7E2DB"/>
      </right>
      <top style="thin">
        <color rgb="FFD7E2DB"/>
      </top>
      <bottom style="thin">
        <color rgb="FFD7E2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2" borderId="3"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left" vertical="center" textRotation="0" wrapText="false" indent="0" shrinkToFit="false"/>
      <protection locked="true" hidden="false"/>
    </xf>
    <xf numFmtId="165" fontId="13" fillId="3" borderId="3" xfId="0" applyFont="true" applyBorder="true" applyAlignment="true" applyProtection="false">
      <alignment horizontal="right" vertical="center" textRotation="0" wrapText="false" indent="0" shrinkToFit="false"/>
      <protection locked="true" hidden="false"/>
    </xf>
    <xf numFmtId="166" fontId="12" fillId="3" borderId="3" xfId="0" applyFont="true" applyBorder="true" applyAlignment="true" applyProtection="false">
      <alignment horizontal="right"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false" indent="0" shrinkToFit="false"/>
      <protection locked="true" hidden="false"/>
    </xf>
    <xf numFmtId="164" fontId="14" fillId="0" borderId="3" xfId="0" applyFont="true" applyBorder="true" applyAlignment="true" applyProtection="false">
      <alignment horizontal="left" vertical="top" textRotation="0" wrapText="true" indent="0" shrinkToFit="false"/>
      <protection locked="true" hidden="false"/>
    </xf>
    <xf numFmtId="165" fontId="15" fillId="0" borderId="3" xfId="0" applyFont="true" applyBorder="true" applyAlignment="true" applyProtection="false">
      <alignment horizontal="right" vertical="center" textRotation="0" wrapText="false" indent="0" shrinkToFit="false"/>
      <protection locked="true" hidden="false"/>
    </xf>
    <xf numFmtId="166" fontId="7" fillId="0" borderId="3" xfId="0" applyFont="true" applyBorder="true" applyAlignment="true" applyProtection="false">
      <alignment horizontal="right" vertical="center" textRotation="0" wrapText="false" indent="0" shrinkToFit="false"/>
      <protection locked="true" hidden="false"/>
    </xf>
    <xf numFmtId="167" fontId="7" fillId="0" borderId="3" xfId="0" applyFont="true" applyBorder="true" applyAlignment="true" applyProtection="false">
      <alignment horizontal="right" vertical="center" textRotation="0" wrapText="false" indent="0" shrinkToFit="false"/>
      <protection locked="true" hidden="false"/>
    </xf>
    <xf numFmtId="164" fontId="16" fillId="3" borderId="3" xfId="0" applyFont="true" applyBorder="true" applyAlignment="false" applyProtection="false">
      <alignment horizontal="general" vertical="bottom" textRotation="0" wrapText="false" indent="0" shrinkToFit="false"/>
      <protection locked="true" hidden="false"/>
    </xf>
    <xf numFmtId="165" fontId="16" fillId="3" borderId="3" xfId="0" applyFont="true" applyBorder="true" applyAlignment="true" applyProtection="false">
      <alignment horizontal="right" vertical="bottom" textRotation="0" wrapText="false" indent="0" shrinkToFit="false"/>
      <protection locked="true" hidden="false"/>
    </xf>
    <xf numFmtId="166" fontId="16" fillId="3" borderId="3" xfId="0" applyFont="true" applyBorder="true" applyAlignment="true" applyProtection="false">
      <alignment horizontal="right" vertical="bottom" textRotation="0" wrapText="false" indent="0" shrinkToFit="false"/>
      <protection locked="true" hidden="false"/>
    </xf>
    <xf numFmtId="167" fontId="16" fillId="3" borderId="3" xfId="0" applyFont="true" applyBorder="true" applyAlignment="true" applyProtection="false">
      <alignment horizontal="right" vertical="bottom" textRotation="0" wrapText="false" indent="0" shrinkToFit="false"/>
      <protection locked="true" hidden="false"/>
    </xf>
    <xf numFmtId="164" fontId="17" fillId="0" borderId="3" xfId="0" applyFont="true" applyBorder="true" applyAlignment="true" applyProtection="false">
      <alignment horizontal="left" vertical="center" textRotation="0" wrapText="false" indent="0" shrinkToFit="false"/>
      <protection locked="true" hidden="false"/>
    </xf>
    <xf numFmtId="165" fontId="18" fillId="0" borderId="3" xfId="0" applyFont="true" applyBorder="true" applyAlignment="true" applyProtection="false">
      <alignment horizontal="right" vertical="center" textRotation="0" wrapText="false" indent="0" shrinkToFit="false"/>
      <protection locked="true" hidden="false"/>
    </xf>
    <xf numFmtId="164" fontId="8" fillId="0" borderId="3" xfId="0" applyFont="true" applyBorder="true" applyAlignment="true" applyProtection="false">
      <alignment horizontal="left" vertical="center" textRotation="0" wrapText="false" indent="0" shrinkToFit="false"/>
      <protection locked="true" hidden="false"/>
    </xf>
    <xf numFmtId="165" fontId="19" fillId="0" borderId="3" xfId="0" applyFont="true" applyBorder="true" applyAlignment="true" applyProtection="false">
      <alignment horizontal="right" vertical="center" textRotation="0" wrapText="false" indent="0" shrinkToFit="false"/>
      <protection locked="true" hidden="false"/>
    </xf>
    <xf numFmtId="165" fontId="7" fillId="0" borderId="3" xfId="0" applyFont="true" applyBorder="true" applyAlignment="true" applyProtection="false">
      <alignment horizontal="right" vertical="center"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6" fontId="21" fillId="4" borderId="3" xfId="0" applyFont="true" applyBorder="true" applyAlignment="true" applyProtection="false">
      <alignment horizontal="right" vertical="center" textRotation="0" wrapText="false" indent="0" shrinkToFit="false"/>
      <protection locked="true" hidden="false"/>
    </xf>
    <xf numFmtId="164" fontId="21" fillId="0" borderId="3" xfId="0" applyFont="true" applyBorder="true" applyAlignment="true" applyProtection="false">
      <alignment horizontal="center" vertical="center" textRotation="0" wrapText="false" indent="0" shrinkToFit="false"/>
      <protection locked="true" hidden="false"/>
    </xf>
    <xf numFmtId="165" fontId="21" fillId="4" borderId="3" xfId="0" applyFont="true" applyBorder="true" applyAlignment="true" applyProtection="false">
      <alignment horizontal="right" vertical="center" textRotation="0" wrapText="false" indent="0" shrinkToFit="false"/>
      <protection locked="true" hidden="false"/>
    </xf>
    <xf numFmtId="167" fontId="21" fillId="4" borderId="3" xfId="0" applyFont="true" applyBorder="true" applyAlignment="true" applyProtection="false">
      <alignment horizontal="right" vertical="center" textRotation="0" wrapText="false" indent="0" shrinkToFit="false"/>
      <protection locked="true" hidden="false"/>
    </xf>
    <xf numFmtId="165" fontId="21" fillId="0" borderId="3" xfId="0" applyFont="true" applyBorder="true" applyAlignment="true" applyProtection="false">
      <alignment horizontal="right"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6" fontId="21" fillId="0" borderId="3" xfId="0" applyFont="true" applyBorder="true" applyAlignment="true" applyProtection="false">
      <alignment horizontal="right" vertical="center" textRotation="0" wrapText="false" indent="0" shrinkToFit="false"/>
      <protection locked="true" hidden="false"/>
    </xf>
    <xf numFmtId="168" fontId="21" fillId="0" borderId="3" xfId="0" applyFont="true" applyBorder="true" applyAlignment="true" applyProtection="false">
      <alignment horizontal="right" vertical="center" textRotation="0" wrapText="false" indent="0" shrinkToFit="false"/>
      <protection locked="true" hidden="false"/>
    </xf>
    <xf numFmtId="168" fontId="7" fillId="0" borderId="3" xfId="0" applyFont="true" applyBorder="true" applyAlignment="true" applyProtection="false">
      <alignment horizontal="right" vertical="center" textRotation="0" wrapText="false" indent="0" shrinkToFit="false"/>
      <protection locked="true" hidden="false"/>
    </xf>
    <xf numFmtId="164" fontId="22" fillId="0" borderId="3" xfId="0" applyFont="true" applyBorder="true" applyAlignment="true" applyProtection="false">
      <alignment horizontal="center" vertical="center" textRotation="0" wrapText="false" indent="0" shrinkToFit="false"/>
      <protection locked="true" hidden="false"/>
    </xf>
    <xf numFmtId="169" fontId="7" fillId="0" borderId="3" xfId="0" applyFont="true" applyBorder="true" applyAlignment="true" applyProtection="false">
      <alignment horizontal="right" vertical="center" textRotation="0" wrapText="false" indent="0" shrinkToFit="false"/>
      <protection locked="true" hidden="false"/>
    </xf>
    <xf numFmtId="169" fontId="21" fillId="0" borderId="3" xfId="0" applyFont="true" applyBorder="true" applyAlignment="true" applyProtection="false">
      <alignment horizontal="right" vertical="center" textRotation="0" wrapText="false" indent="0" shrinkToFit="false"/>
      <protection locked="true" hidden="false"/>
    </xf>
    <xf numFmtId="164" fontId="23" fillId="0" borderId="3" xfId="0" applyFont="true" applyBorder="true" applyAlignment="true" applyProtection="false">
      <alignment horizontal="center" vertical="center" textRotation="0" wrapText="false" indent="0" shrinkToFit="false"/>
      <protection locked="true" hidden="false"/>
    </xf>
    <xf numFmtId="169" fontId="16" fillId="3" borderId="3" xfId="0" applyFont="true" applyBorder="true" applyAlignment="true" applyProtection="false">
      <alignment horizontal="right" vertical="bottom" textRotation="0" wrapText="false" indent="0" shrinkToFit="false"/>
      <protection locked="true" hidden="false"/>
    </xf>
    <xf numFmtId="164" fontId="7" fillId="0" borderId="3" xfId="0" applyFont="true" applyBorder="true" applyAlignment="true" applyProtection="false">
      <alignment horizontal="left" vertical="top" textRotation="0" wrapText="true" indent="0" shrinkToFit="false"/>
      <protection locked="true" hidden="false"/>
    </xf>
    <xf numFmtId="166" fontId="15" fillId="0" borderId="3" xfId="0" applyFont="true" applyBorder="true" applyAlignment="true" applyProtection="false">
      <alignment horizontal="right" vertical="center" textRotation="0" wrapText="false" indent="0" shrinkToFit="false"/>
      <protection locked="true" hidden="false"/>
    </xf>
    <xf numFmtId="165" fontId="8" fillId="0" borderId="3" xfId="0" applyFont="true" applyBorder="true" applyAlignment="true" applyProtection="false">
      <alignment horizontal="right" vertical="center" textRotation="0" wrapText="false" indent="0" shrinkToFit="false"/>
      <protection locked="true" hidden="false"/>
    </xf>
    <xf numFmtId="165" fontId="8" fillId="5" borderId="3" xfId="0" applyFont="true" applyBorder="true" applyAlignment="true" applyProtection="false">
      <alignment horizontal="right" vertical="center" textRotation="0" wrapText="false" indent="0" shrinkToFit="false"/>
      <protection locked="true" hidden="false"/>
    </xf>
    <xf numFmtId="164" fontId="18" fillId="0" borderId="3"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left" vertical="top" textRotation="0" wrapText="true" indent="0" shrinkToFit="false"/>
      <protection locked="true" hidden="false"/>
    </xf>
    <xf numFmtId="164" fontId="24" fillId="0" borderId="3" xfId="0" applyFont="true" applyBorder="true" applyAlignment="true" applyProtection="false">
      <alignment horizontal="center" vertical="top" textRotation="0" wrapText="true" indent="0" shrinkToFit="false"/>
      <protection locked="true" hidden="false"/>
    </xf>
    <xf numFmtId="169" fontId="7" fillId="0" borderId="3" xfId="0" applyFont="true" applyBorder="true" applyAlignment="true" applyProtection="false">
      <alignment horizontal="center" vertical="center" textRotation="0" wrapText="false" indent="0" shrinkToFit="false"/>
      <protection locked="true" hidden="false"/>
    </xf>
    <xf numFmtId="164" fontId="18" fillId="0" borderId="3" xfId="0" applyFont="true" applyBorder="true" applyAlignment="true" applyProtection="false">
      <alignment horizontal="center" vertical="top" textRotation="0" wrapText="true" indent="0" shrinkToFit="false"/>
      <protection locked="true" hidden="false"/>
    </xf>
    <xf numFmtId="164" fontId="25" fillId="0" borderId="3" xfId="0" applyFont="true" applyBorder="true" applyAlignment="true" applyProtection="false">
      <alignment horizontal="center" vertical="top" textRotation="0" wrapText="true" indent="0" shrinkToFit="false"/>
      <protection locked="true" hidden="false"/>
    </xf>
    <xf numFmtId="164" fontId="26" fillId="0" borderId="3" xfId="0" applyFont="true" applyBorder="true" applyAlignment="true" applyProtection="false">
      <alignment horizontal="center" vertical="top" textRotation="0" wrapText="true" indent="0" shrinkToFit="false"/>
      <protection locked="true" hidden="false"/>
    </xf>
    <xf numFmtId="164" fontId="27" fillId="0" borderId="3"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C4C"/>
      <rgbColor rgb="FFC0C0C0"/>
      <rgbColor rgb="FF808080"/>
      <rgbColor rgb="FF9999FF"/>
      <rgbColor rgb="FF993366"/>
      <rgbColor rgb="FFFFF6D6"/>
      <rgbColor rgb="FFE8F0EB"/>
      <rgbColor rgb="FF660066"/>
      <rgbColor rgb="FFFF8080"/>
      <rgbColor rgb="FF0066CC"/>
      <rgbColor rgb="FFD7E2DB"/>
      <rgbColor rgb="FF000080"/>
      <rgbColor rgb="FFFF00FF"/>
      <rgbColor rgb="FFFFFF00"/>
      <rgbColor rgb="FF00FFFF"/>
      <rgbColor rgb="FF800080"/>
      <rgbColor rgb="FF800000"/>
      <rgbColor rgb="FF008080"/>
      <rgbColor rgb="FF0000FF"/>
      <rgbColor rgb="FF00CCFF"/>
      <rgbColor rgb="FFF0F5F2"/>
      <rgbColor rgb="FFCCFFCC"/>
      <rgbColor rgb="FFFFFF99"/>
      <rgbColor rgb="FF99CCFF"/>
      <rgbColor rgb="FFFF99CC"/>
      <rgbColor rgb="FFCC99FF"/>
      <rgbColor rgb="FFFFCC99"/>
      <rgbColor rgb="FF3366FF"/>
      <rgbColor rgb="FF33CCCC"/>
      <rgbColor rgb="FF99CC00"/>
      <rgbColor rgb="FFFFCC00"/>
      <rgbColor rgb="FFE4A11B"/>
      <rgbColor rgb="FFFF6600"/>
      <rgbColor rgb="FF6B7280"/>
      <rgbColor rgb="FF969696"/>
      <rgbColor rgb="FF004D3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A11B"/>
    <pageSetUpPr fitToPage="true"/>
  </sheetPr>
  <dimension ref="B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0"/>
    <col collapsed="false" customWidth="true" hidden="false" outlineLevel="0" max="5" min="5" style="0" width="20"/>
  </cols>
  <sheetData>
    <row r="1" customFormat="false" ht="27.75" hidden="false" customHeight="true" outlineLevel="0" collapsed="false">
      <c r="B1" s="1" t="s">
        <v>0</v>
      </c>
    </row>
    <row r="2" customFormat="false" ht="15" hidden="false" customHeight="false" outlineLevel="0" collapsed="false">
      <c r="B2" s="2" t="s">
        <v>1</v>
      </c>
    </row>
    <row r="4" customFormat="false" ht="100.5" hidden="false" customHeight="true" outlineLevel="0" collapsed="false">
      <c r="B4" s="3" t="s">
        <v>2</v>
      </c>
      <c r="C4" s="4" t="s">
        <v>3</v>
      </c>
    </row>
    <row r="6" customFormat="false" ht="30" hidden="false" customHeight="true" outlineLevel="0" collapsed="false">
      <c r="B6" s="3" t="s">
        <v>4</v>
      </c>
      <c r="C6" s="4" t="s">
        <v>5</v>
      </c>
    </row>
    <row r="8" customFormat="false" ht="63" hidden="false" customHeight="true" outlineLevel="0" collapsed="false">
      <c r="B8" s="3" t="s">
        <v>6</v>
      </c>
      <c r="C8" s="4" t="s">
        <v>7</v>
      </c>
    </row>
    <row r="10" customFormat="false" ht="87.75" hidden="false" customHeight="true" outlineLevel="0" collapsed="false">
      <c r="B10" s="3" t="s">
        <v>8</v>
      </c>
      <c r="C10" s="4" t="s">
        <v>9</v>
      </c>
    </row>
    <row r="12" customFormat="false" ht="37.5" hidden="false" customHeight="true" outlineLevel="0" collapsed="false">
      <c r="B12" s="3" t="s">
        <v>10</v>
      </c>
      <c r="C12" s="4" t="s">
        <v>11</v>
      </c>
    </row>
    <row r="14" customFormat="false" ht="87.75" hidden="false" customHeight="true" outlineLevel="0" collapsed="false">
      <c r="B14" s="3" t="s">
        <v>12</v>
      </c>
      <c r="C14" s="4" t="s">
        <v>13</v>
      </c>
    </row>
    <row r="16" customFormat="false" ht="63" hidden="false" customHeight="true" outlineLevel="0" collapsed="false">
      <c r="B16" s="3" t="s">
        <v>14</v>
      </c>
      <c r="C16" s="4" t="s">
        <v>15</v>
      </c>
    </row>
    <row r="19" customFormat="false" ht="15" hidden="false" customHeight="false" outlineLevel="0" collapsed="false">
      <c r="B19" s="5" t="s">
        <v>16</v>
      </c>
    </row>
    <row r="20" customFormat="false" ht="15" hidden="false" customHeight="false" outlineLevel="0" collapsed="false">
      <c r="B20" s="6" t="s">
        <v>17</v>
      </c>
      <c r="C20" s="2" t="s">
        <v>18</v>
      </c>
    </row>
    <row r="21" customFormat="false" ht="15" hidden="false" customHeight="false" outlineLevel="0" collapsed="false">
      <c r="B21" s="6" t="s">
        <v>19</v>
      </c>
      <c r="C21" s="2" t="s">
        <v>20</v>
      </c>
    </row>
    <row r="22" customFormat="false" ht="15" hidden="false" customHeight="false" outlineLevel="0" collapsed="false">
      <c r="B22" s="6" t="s">
        <v>21</v>
      </c>
      <c r="C22" s="2" t="s">
        <v>22</v>
      </c>
    </row>
    <row r="23" customFormat="false" ht="15" hidden="false" customHeight="false" outlineLevel="0" collapsed="false">
      <c r="B23" s="6" t="s">
        <v>23</v>
      </c>
      <c r="C23" s="2" t="s">
        <v>24</v>
      </c>
    </row>
    <row r="24" customFormat="false" ht="15" hidden="false" customHeight="false" outlineLevel="0" collapsed="false">
      <c r="B24" s="6" t="s">
        <v>25</v>
      </c>
      <c r="C24" s="2" t="s">
        <v>26</v>
      </c>
    </row>
    <row r="25" customFormat="false" ht="15" hidden="false" customHeight="false" outlineLevel="0" collapsed="false">
      <c r="B25" s="6" t="s">
        <v>27</v>
      </c>
      <c r="C25" s="2" t="s">
        <v>28</v>
      </c>
    </row>
    <row r="26" customFormat="false" ht="15" hidden="false" customHeight="false" outlineLevel="0" collapsed="false">
      <c r="B26" s="6" t="s">
        <v>29</v>
      </c>
      <c r="C26" s="2" t="s">
        <v>30</v>
      </c>
    </row>
    <row r="27" customFormat="false" ht="15" hidden="false" customHeight="false" outlineLevel="0" collapsed="false">
      <c r="B27" s="6" t="s">
        <v>31</v>
      </c>
      <c r="C27" s="2" t="s">
        <v>32</v>
      </c>
    </row>
    <row r="28" customFormat="false" ht="15" hidden="false" customHeight="false" outlineLevel="0" collapsed="false">
      <c r="B28" s="6" t="s">
        <v>33</v>
      </c>
      <c r="C28" s="2" t="s">
        <v>34</v>
      </c>
    </row>
    <row r="29" customFormat="false" ht="15" hidden="false" customHeight="false" outlineLevel="0" collapsed="false">
      <c r="B29" s="6" t="s">
        <v>35</v>
      </c>
      <c r="C29" s="2" t="s">
        <v>36</v>
      </c>
    </row>
  </sheetData>
  <printOptions headings="false" gridLines="false" gridLinesSet="true" horizontalCentered="false" verticalCentered="false"/>
  <pageMargins left="0.4" right="0.4" top="0.5" bottom="0.5"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&amp;L&amp;8 Chokro Budget Plan · Read Me&amp;R&amp;8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A11B"/>
    <pageSetUpPr fitToPage="tru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16"/>
    <col collapsed="false" customWidth="true" hidden="false" outlineLevel="0" max="4" min="4" style="0" width="14"/>
    <col collapsed="false" customWidth="true" hidden="false" outlineLevel="0" max="5" min="5" style="0" width="56"/>
  </cols>
  <sheetData>
    <row r="1" customFormat="false" ht="21.75" hidden="false" customHeight="true" outlineLevel="0" collapsed="false">
      <c r="A1" s="7" t="s">
        <v>19</v>
      </c>
    </row>
    <row r="2" customFormat="false" ht="13.5" hidden="false" customHeight="true" outlineLevel="0" collapsed="false">
      <c r="A2" s="8" t="s">
        <v>37</v>
      </c>
      <c r="B2" s="9"/>
      <c r="C2" s="9"/>
      <c r="D2" s="9"/>
      <c r="E2" s="9"/>
    </row>
    <row r="4" customFormat="false" ht="18" hidden="false" customHeight="true" outlineLevel="0" collapsed="false">
      <c r="A4" s="5" t="s">
        <v>38</v>
      </c>
    </row>
    <row r="5" customFormat="false" ht="27.75" hidden="false" customHeight="true" outlineLevel="0" collapsed="false">
      <c r="A5" s="10"/>
      <c r="B5" s="10" t="s">
        <v>39</v>
      </c>
      <c r="C5" s="10" t="s">
        <v>40</v>
      </c>
      <c r="D5" s="10"/>
      <c r="E5" s="10" t="s">
        <v>41</v>
      </c>
    </row>
    <row r="6" customFormat="false" ht="33.75" hidden="false" customHeight="true" outlineLevel="0" collapsed="false">
      <c r="A6" s="11" t="s">
        <v>42</v>
      </c>
      <c r="B6" s="12" t="n">
        <f aca="false">'Cash Flow'!B12</f>
        <v>83359.6885</v>
      </c>
      <c r="C6" s="13" t="n">
        <f aca="false">B6/Assumptions!$B$6</f>
        <v>676.565932148365</v>
      </c>
      <c r="D6" s="14"/>
      <c r="E6" s="15" t="s">
        <v>43</v>
      </c>
    </row>
    <row r="7" customFormat="false" ht="33.75" hidden="false" customHeight="true" outlineLevel="0" collapsed="false">
      <c r="A7" s="11" t="s">
        <v>44</v>
      </c>
      <c r="B7" s="12" t="n">
        <f aca="false">'Cash Flow'!N12</f>
        <v>289163.512</v>
      </c>
      <c r="C7" s="13" t="n">
        <f aca="false">B7/Assumptions!$B$6</f>
        <v>2346.91593214836</v>
      </c>
      <c r="D7" s="14"/>
      <c r="E7" s="15" t="s">
        <v>45</v>
      </c>
    </row>
    <row r="8" customFormat="false" ht="33.75" hidden="false" customHeight="true" outlineLevel="0" collapsed="false">
      <c r="A8" s="11" t="s">
        <v>46</v>
      </c>
      <c r="B8" s="12" t="n">
        <f aca="false">'1 Registration'!B28+'2 Technology'!B33</f>
        <v>234064.262</v>
      </c>
      <c r="C8" s="13" t="n">
        <f aca="false">B8/Assumptions!$B$6</f>
        <v>1899.71805859914</v>
      </c>
      <c r="D8" s="14"/>
      <c r="E8" s="15" t="s">
        <v>47</v>
      </c>
    </row>
    <row r="10" customFormat="false" ht="18" hidden="false" customHeight="true" outlineLevel="0" collapsed="false">
      <c r="A10" s="5" t="s">
        <v>48</v>
      </c>
    </row>
    <row r="11" customFormat="false" ht="27.75" hidden="false" customHeight="true" outlineLevel="0" collapsed="false">
      <c r="A11" s="10" t="s">
        <v>49</v>
      </c>
      <c r="B11" s="10" t="s">
        <v>39</v>
      </c>
      <c r="C11" s="10" t="s">
        <v>40</v>
      </c>
      <c r="D11" s="10" t="s">
        <v>50</v>
      </c>
      <c r="E11" s="10" t="s">
        <v>51</v>
      </c>
    </row>
    <row r="12" customFormat="false" ht="25.5" hidden="false" customHeight="true" outlineLevel="0" collapsed="false">
      <c r="A12" s="14" t="s">
        <v>52</v>
      </c>
      <c r="B12" s="16" t="n">
        <f aca="false">'1 Registration'!B26</f>
        <v>8587</v>
      </c>
      <c r="C12" s="17" t="n">
        <f aca="false">B12/Assumptions!$B$6</f>
        <v>69.694018342667</v>
      </c>
      <c r="D12" s="18" t="n">
        <f aca="false">IFERROR(B12/$B$15,0)</f>
        <v>0.029696001202254</v>
      </c>
      <c r="E12" s="15" t="s">
        <v>53</v>
      </c>
    </row>
    <row r="13" customFormat="false" ht="25.5" hidden="false" customHeight="true" outlineLevel="0" collapsed="false">
      <c r="A13" s="14" t="s">
        <v>54</v>
      </c>
      <c r="B13" s="16" t="n">
        <f aca="false">'2 Technology'!B31</f>
        <v>231292.512</v>
      </c>
      <c r="C13" s="17" t="n">
        <f aca="false">B13/Assumptions!$B$6</f>
        <v>1877.2219138057</v>
      </c>
      <c r="D13" s="18" t="n">
        <f aca="false">IFERROR(B13/$B$15,0)</f>
        <v>0.799867557287103</v>
      </c>
      <c r="E13" s="15" t="s">
        <v>55</v>
      </c>
    </row>
    <row r="14" customFormat="false" ht="25.5" hidden="false" customHeight="true" outlineLevel="0" collapsed="false">
      <c r="A14" s="14" t="s">
        <v>56</v>
      </c>
      <c r="B14" s="16" t="n">
        <f aca="false">'3 People'!C33</f>
        <v>49284</v>
      </c>
      <c r="C14" s="17" t="n">
        <f aca="false">B14/Assumptions!$B$6</f>
        <v>400</v>
      </c>
      <c r="D14" s="18" t="n">
        <f aca="false">IFERROR(B14/$B$15,0)</f>
        <v>0.170436441510643</v>
      </c>
      <c r="E14" s="15" t="s">
        <v>57</v>
      </c>
    </row>
    <row r="15" customFormat="false" ht="15" hidden="false" customHeight="false" outlineLevel="0" collapsed="false">
      <c r="A15" s="19" t="s">
        <v>58</v>
      </c>
      <c r="B15" s="20" t="n">
        <f aca="false">SUM(B12:B14)</f>
        <v>289163.512</v>
      </c>
      <c r="C15" s="21" t="n">
        <f aca="false">B15/Assumptions!$B$6</f>
        <v>2346.91593214836</v>
      </c>
      <c r="D15" s="22" t="n">
        <f aca="false">SUM(D12:D14)</f>
        <v>1</v>
      </c>
      <c r="E15" s="19"/>
    </row>
    <row r="16" customFormat="false" ht="24" hidden="false" customHeight="true" outlineLevel="0" collapsed="false">
      <c r="A16" s="23" t="s">
        <v>59</v>
      </c>
      <c r="B16" s="24" t="n">
        <f aca="false">B15-'Cash Flow'!N12</f>
        <v>0</v>
      </c>
      <c r="E16" s="15" t="s">
        <v>60</v>
      </c>
    </row>
    <row r="18" customFormat="false" ht="18" hidden="false" customHeight="true" outlineLevel="0" collapsed="false">
      <c r="A18" s="5" t="s">
        <v>61</v>
      </c>
    </row>
    <row r="19" customFormat="false" ht="27.75" hidden="false" customHeight="true" outlineLevel="0" collapsed="false">
      <c r="A19" s="10" t="s">
        <v>62</v>
      </c>
      <c r="B19" s="10" t="s">
        <v>39</v>
      </c>
      <c r="C19" s="10" t="s">
        <v>40</v>
      </c>
      <c r="D19" s="10" t="s">
        <v>63</v>
      </c>
      <c r="E19" s="10" t="s">
        <v>51</v>
      </c>
    </row>
    <row r="20" customFormat="false" ht="25.5" hidden="false" customHeight="true" outlineLevel="0" collapsed="false">
      <c r="A20" s="25" t="s">
        <v>64</v>
      </c>
      <c r="B20" s="26" t="n">
        <f aca="false">'Cash Flow'!N12</f>
        <v>289163.512</v>
      </c>
      <c r="C20" s="17" t="n">
        <f aca="false">B20/Assumptions!$B$6</f>
        <v>2346.91593214836</v>
      </c>
      <c r="D20" s="27" t="n">
        <f aca="false">B20-$B$20</f>
        <v>0</v>
      </c>
      <c r="E20" s="15" t="s">
        <v>65</v>
      </c>
    </row>
    <row r="21" customFormat="false" ht="25.5" hidden="false" customHeight="true" outlineLevel="0" collapsed="false">
      <c r="A21" s="14" t="s">
        <v>66</v>
      </c>
      <c r="B21" s="27" t="n">
        <f aca="false">B20+'1 Registration'!B24</f>
        <v>297663.512</v>
      </c>
      <c r="C21" s="17" t="n">
        <f aca="false">B21/Assumptions!$B$6</f>
        <v>2415.90383897411</v>
      </c>
      <c r="D21" s="27" t="n">
        <f aca="false">B21-$B$20</f>
        <v>8500</v>
      </c>
      <c r="E21" s="15" t="s">
        <v>67</v>
      </c>
    </row>
    <row r="22" customFormat="false" ht="25.5" hidden="false" customHeight="true" outlineLevel="0" collapsed="false">
      <c r="A22" s="14" t="s">
        <v>68</v>
      </c>
      <c r="B22" s="27" t="n">
        <f aca="false">B20+'2 Technology'!B7+'2 Technology'!B14</f>
        <v>421361.302</v>
      </c>
      <c r="C22" s="17" t="n">
        <f aca="false">B22/Assumptions!$B$6</f>
        <v>3419.86285204123</v>
      </c>
      <c r="D22" s="27" t="n">
        <f aca="false">B22-$B$20</f>
        <v>132197.79</v>
      </c>
      <c r="E22" s="15" t="s">
        <v>69</v>
      </c>
    </row>
    <row r="23" customFormat="false" ht="25.5" hidden="false" customHeight="true" outlineLevel="0" collapsed="false">
      <c r="A23" s="14" t="s">
        <v>70</v>
      </c>
      <c r="B23" s="27" t="n">
        <f aca="false">B20+'3 People'!C24</f>
        <v>403163.512</v>
      </c>
      <c r="C23" s="17" t="n">
        <f aca="false">B23/Assumptions!$B$6</f>
        <v>3272.16550604659</v>
      </c>
      <c r="D23" s="27" t="n">
        <f aca="false">B23-$B$20</f>
        <v>114000</v>
      </c>
      <c r="E23" s="15" t="s">
        <v>71</v>
      </c>
    </row>
    <row r="24" customFormat="false" ht="25.5" hidden="false" customHeight="true" outlineLevel="0" collapsed="false">
      <c r="A24" s="14" t="s">
        <v>72</v>
      </c>
      <c r="B24" s="27" t="n">
        <f aca="false">B20+'1 Registration'!B24+'2 Technology'!B7+'2 Technology'!B14+'3 People'!C24</f>
        <v>543861.302</v>
      </c>
      <c r="C24" s="17" t="n">
        <f aca="false">B24/Assumptions!$B$6</f>
        <v>4414.1003327652</v>
      </c>
      <c r="D24" s="27" t="n">
        <f aca="false">B24-$B$20</f>
        <v>254697.79</v>
      </c>
      <c r="E24" s="15" t="s">
        <v>73</v>
      </c>
    </row>
    <row r="26" customFormat="false" ht="18" hidden="false" customHeight="true" outlineLevel="0" collapsed="false">
      <c r="A26" s="5" t="s">
        <v>74</v>
      </c>
    </row>
    <row r="27" customFormat="false" ht="27.75" hidden="false" customHeight="true" outlineLevel="0" collapsed="false">
      <c r="A27" s="10" t="s">
        <v>75</v>
      </c>
      <c r="B27" s="10" t="s">
        <v>39</v>
      </c>
      <c r="C27" s="10" t="s">
        <v>40</v>
      </c>
      <c r="D27" s="10"/>
      <c r="E27" s="10" t="s">
        <v>76</v>
      </c>
    </row>
    <row r="28" customFormat="false" ht="43.5" hidden="false" customHeight="true" outlineLevel="0" collapsed="false">
      <c r="A28" s="25" t="s">
        <v>77</v>
      </c>
      <c r="B28" s="26" t="n">
        <f aca="false">'Cash Flow'!N12</f>
        <v>289163.512</v>
      </c>
      <c r="C28" s="17" t="n">
        <f aca="false">B28/Assumptions!$B$6</f>
        <v>2346.91593214836</v>
      </c>
      <c r="D28" s="14"/>
      <c r="E28" s="15" t="s">
        <v>78</v>
      </c>
    </row>
    <row r="29" customFormat="false" ht="43.5" hidden="false" customHeight="true" outlineLevel="0" collapsed="false">
      <c r="A29" s="14" t="s">
        <v>79</v>
      </c>
      <c r="B29" s="16" t="n">
        <f aca="false">'3 People'!C24</f>
        <v>114000</v>
      </c>
      <c r="C29" s="17" t="n">
        <f aca="false">B29/Assumptions!$B$6</f>
        <v>925.249573898223</v>
      </c>
      <c r="D29" s="14"/>
      <c r="E29" s="15" t="s">
        <v>80</v>
      </c>
    </row>
    <row r="30" customFormat="false" ht="43.5" hidden="false" customHeight="true" outlineLevel="0" collapsed="false">
      <c r="A30" s="14" t="s">
        <v>81</v>
      </c>
      <c r="B30" s="16" t="n">
        <f aca="false">'2 Technology'!B7+'2 Technology'!B14</f>
        <v>132197.79</v>
      </c>
      <c r="C30" s="17" t="n">
        <f aca="false">B30/Assumptions!$B$6</f>
        <v>1072.94691989287</v>
      </c>
      <c r="D30" s="14"/>
      <c r="E30" s="15" t="s">
        <v>82</v>
      </c>
    </row>
    <row r="31" customFormat="false" ht="43.5" hidden="false" customHeight="true" outlineLevel="0" collapsed="false">
      <c r="A31" s="14" t="s">
        <v>83</v>
      </c>
      <c r="B31" s="16" t="n">
        <f aca="false">Decisions!B7</f>
        <v>28500</v>
      </c>
      <c r="C31" s="17" t="n">
        <f aca="false">B31/Assumptions!$B$6</f>
        <v>231.312393474556</v>
      </c>
      <c r="D31" s="14"/>
      <c r="E31" s="15" t="s">
        <v>84</v>
      </c>
    </row>
    <row r="32" customFormat="false" ht="15" hidden="false" customHeight="false" outlineLevel="0" collapsed="false">
      <c r="A32" s="19" t="s">
        <v>85</v>
      </c>
      <c r="B32" s="20" t="n">
        <f aca="false">SUM(B28:B31)</f>
        <v>563861.302</v>
      </c>
      <c r="C32" s="21" t="n">
        <f aca="false">B32/Assumptions!$B$6</f>
        <v>4576.42481941401</v>
      </c>
      <c r="D32" s="19"/>
      <c r="E32" s="19"/>
    </row>
    <row r="34" customFormat="false" ht="55.5" hidden="false" customHeight="true" outlineLevel="0" collapsed="false">
      <c r="A34" s="28" t="s">
        <v>86</v>
      </c>
      <c r="B34" s="28"/>
      <c r="C34" s="28"/>
      <c r="D34" s="28"/>
      <c r="E34" s="28"/>
    </row>
  </sheetData>
  <mergeCells count="1">
    <mergeCell ref="A34:E34"/>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Budget Summary&amp;R&amp;8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3" style="0" width="14"/>
    <col collapsed="false" customWidth="true" hidden="false" outlineLevel="0" max="5" min="5" style="0" width="52"/>
  </cols>
  <sheetData>
    <row r="1" customFormat="false" ht="21.75" hidden="false" customHeight="true" outlineLevel="0" collapsed="false">
      <c r="A1" s="7" t="s">
        <v>87</v>
      </c>
    </row>
    <row r="2" customFormat="false" ht="13.5" hidden="false" customHeight="true" outlineLevel="0" collapsed="false">
      <c r="A2" s="8" t="s">
        <v>88</v>
      </c>
      <c r="B2" s="9"/>
      <c r="C2" s="9"/>
      <c r="D2" s="9"/>
      <c r="E2" s="9"/>
    </row>
    <row r="4" customFormat="false" ht="18" hidden="false" customHeight="true" outlineLevel="0" collapsed="false">
      <c r="A4" s="5" t="s">
        <v>89</v>
      </c>
    </row>
    <row r="5" customFormat="false" ht="27.75" hidden="false" customHeight="true" outlineLevel="0" collapsed="false">
      <c r="A5" s="10" t="s">
        <v>90</v>
      </c>
      <c r="B5" s="10" t="s">
        <v>91</v>
      </c>
      <c r="C5" s="10"/>
      <c r="D5" s="10"/>
      <c r="E5" s="10" t="s">
        <v>92</v>
      </c>
    </row>
    <row r="6" customFormat="false" ht="25.5" hidden="false" customHeight="true" outlineLevel="0" collapsed="false">
      <c r="A6" s="14" t="s">
        <v>93</v>
      </c>
      <c r="B6" s="29" t="n">
        <v>123.21</v>
      </c>
      <c r="C6" s="14"/>
      <c r="D6" s="14"/>
      <c r="E6" s="15" t="s">
        <v>94</v>
      </c>
    </row>
    <row r="7" customFormat="false" ht="25.5" hidden="false" customHeight="true" outlineLevel="0" collapsed="false">
      <c r="A7" s="14" t="s">
        <v>95</v>
      </c>
      <c r="B7" s="30" t="s">
        <v>96</v>
      </c>
      <c r="C7" s="14"/>
      <c r="D7" s="14"/>
      <c r="E7" s="15" t="s">
        <v>97</v>
      </c>
    </row>
    <row r="8" customFormat="false" ht="25.5" hidden="false" customHeight="true" outlineLevel="0" collapsed="false">
      <c r="A8" s="14" t="s">
        <v>98</v>
      </c>
      <c r="B8" s="31" t="n">
        <v>5000</v>
      </c>
      <c r="C8" s="14"/>
      <c r="D8" s="14"/>
      <c r="E8" s="15" t="s">
        <v>99</v>
      </c>
    </row>
    <row r="9" customFormat="false" ht="25.5" hidden="false" customHeight="true" outlineLevel="0" collapsed="false">
      <c r="A9" s="14" t="s">
        <v>100</v>
      </c>
      <c r="B9" s="32" t="n">
        <v>0.3</v>
      </c>
      <c r="C9" s="14"/>
      <c r="D9" s="14"/>
      <c r="E9" s="15" t="s">
        <v>101</v>
      </c>
    </row>
    <row r="10" customFormat="false" ht="25.5" hidden="false" customHeight="true" outlineLevel="0" collapsed="false">
      <c r="A10" s="14" t="s">
        <v>102</v>
      </c>
      <c r="B10" s="27" t="n">
        <f aca="false">B8*B9</f>
        <v>1500</v>
      </c>
      <c r="C10" s="14"/>
      <c r="D10" s="14"/>
      <c r="E10" s="15"/>
    </row>
    <row r="11" customFormat="false" ht="25.5" hidden="false" customHeight="true" outlineLevel="0" collapsed="false">
      <c r="A11" s="14" t="s">
        <v>103</v>
      </c>
      <c r="B11" s="31" t="n">
        <v>5</v>
      </c>
      <c r="C11" s="14"/>
      <c r="D11" s="14"/>
      <c r="E11" s="15" t="s">
        <v>104</v>
      </c>
    </row>
    <row r="12" customFormat="false" ht="25.5" hidden="false" customHeight="true" outlineLevel="0" collapsed="false">
      <c r="A12" s="14" t="s">
        <v>105</v>
      </c>
      <c r="B12" s="27" t="n">
        <f aca="false">B10*B11</f>
        <v>7500</v>
      </c>
      <c r="C12" s="14"/>
      <c r="D12" s="14"/>
      <c r="E12" s="15"/>
    </row>
    <row r="14" customFormat="false" ht="18" hidden="false" customHeight="true" outlineLevel="0" collapsed="false">
      <c r="A14" s="5" t="s">
        <v>106</v>
      </c>
    </row>
    <row r="15" customFormat="false" ht="27.75" hidden="false" customHeight="true" outlineLevel="0" collapsed="false">
      <c r="A15" s="10" t="s">
        <v>107</v>
      </c>
      <c r="B15" s="10" t="s">
        <v>108</v>
      </c>
      <c r="C15" s="10" t="s">
        <v>109</v>
      </c>
      <c r="D15" s="10"/>
      <c r="E15" s="10" t="s">
        <v>92</v>
      </c>
    </row>
    <row r="16" customFormat="false" ht="19.4" hidden="false" customHeight="false" outlineLevel="0" collapsed="false">
      <c r="A16" s="14" t="s">
        <v>110</v>
      </c>
      <c r="B16" s="33" t="n">
        <v>3500</v>
      </c>
      <c r="C16" s="17" t="n">
        <f aca="false">B16/Assumptions!$B$6</f>
        <v>28.4067851635419</v>
      </c>
      <c r="D16" s="14"/>
      <c r="E16" s="15" t="s">
        <v>111</v>
      </c>
    </row>
    <row r="17" customFormat="false" ht="19.4" hidden="false" customHeight="false" outlineLevel="0" collapsed="false">
      <c r="A17" s="14" t="s">
        <v>112</v>
      </c>
      <c r="B17" s="31" t="n">
        <v>4750</v>
      </c>
      <c r="C17" s="17" t="n">
        <f aca="false">B17/Assumptions!$B$6</f>
        <v>38.5520655790926</v>
      </c>
      <c r="D17" s="14"/>
      <c r="E17" s="15" t="s">
        <v>111</v>
      </c>
    </row>
    <row r="18" customFormat="false" ht="19.4" hidden="false" customHeight="false" outlineLevel="0" collapsed="false">
      <c r="A18" s="14" t="s">
        <v>113</v>
      </c>
      <c r="B18" s="33" t="n">
        <v>6000</v>
      </c>
      <c r="C18" s="17" t="n">
        <f aca="false">B18/Assumptions!$B$6</f>
        <v>48.6973459946433</v>
      </c>
      <c r="D18" s="14"/>
      <c r="E18" s="15" t="s">
        <v>111</v>
      </c>
    </row>
    <row r="19" customFormat="false" ht="15" hidden="false" customHeight="false" outlineLevel="0" collapsed="false">
      <c r="A19" s="14" t="s">
        <v>114</v>
      </c>
      <c r="B19" s="33" t="n">
        <v>22</v>
      </c>
      <c r="C19" s="14"/>
      <c r="D19" s="14"/>
      <c r="E19" s="15" t="s">
        <v>115</v>
      </c>
    </row>
    <row r="21" customFormat="false" ht="18" hidden="false" customHeight="true" outlineLevel="0" collapsed="false">
      <c r="A21" s="5" t="s">
        <v>116</v>
      </c>
    </row>
    <row r="22" customFormat="false" ht="27.75" hidden="false" customHeight="true" outlineLevel="0" collapsed="false">
      <c r="A22" s="10" t="s">
        <v>117</v>
      </c>
      <c r="B22" s="10" t="s">
        <v>118</v>
      </c>
      <c r="C22" s="10" t="s">
        <v>40</v>
      </c>
      <c r="D22" s="10" t="s">
        <v>39</v>
      </c>
      <c r="E22" s="10" t="s">
        <v>92</v>
      </c>
    </row>
    <row r="23" customFormat="false" ht="24" hidden="false" customHeight="true" outlineLevel="0" collapsed="false">
      <c r="A23" s="14" t="s">
        <v>119</v>
      </c>
      <c r="B23" s="34" t="s">
        <v>120</v>
      </c>
      <c r="C23" s="35" t="n">
        <v>99</v>
      </c>
      <c r="D23" s="27" t="n">
        <f aca="false">C23*Assumptions!$B$6</f>
        <v>12197.79</v>
      </c>
      <c r="E23" s="15" t="s">
        <v>121</v>
      </c>
    </row>
    <row r="24" customFormat="false" ht="24" hidden="false" customHeight="true" outlineLevel="0" collapsed="false">
      <c r="A24" s="14" t="s">
        <v>122</v>
      </c>
      <c r="B24" s="34" t="s">
        <v>123</v>
      </c>
      <c r="C24" s="36" t="n">
        <v>0.00026</v>
      </c>
      <c r="D24" s="37" t="n">
        <f aca="false">C24*Assumptions!$B$6</f>
        <v>0.0320346</v>
      </c>
      <c r="E24" s="15" t="s">
        <v>124</v>
      </c>
    </row>
    <row r="25" customFormat="false" ht="24" hidden="false" customHeight="true" outlineLevel="0" collapsed="false">
      <c r="A25" s="14" t="s">
        <v>125</v>
      </c>
      <c r="B25" s="34" t="s">
        <v>120</v>
      </c>
      <c r="C25" s="35" t="n">
        <v>25</v>
      </c>
      <c r="D25" s="27" t="n">
        <f aca="false">C25*Assumptions!$B$6</f>
        <v>3080.25</v>
      </c>
      <c r="E25" s="15" t="s">
        <v>126</v>
      </c>
    </row>
    <row r="26" customFormat="false" ht="24" hidden="false" customHeight="true" outlineLevel="0" collapsed="false">
      <c r="A26" s="14" t="s">
        <v>127</v>
      </c>
      <c r="B26" s="34" t="s">
        <v>120</v>
      </c>
      <c r="C26" s="35" t="n">
        <v>25.9</v>
      </c>
      <c r="D26" s="27" t="n">
        <f aca="false">C26*Assumptions!$B$6</f>
        <v>3191.139</v>
      </c>
      <c r="E26" s="15" t="s">
        <v>128</v>
      </c>
    </row>
    <row r="27" customFormat="false" ht="24" hidden="false" customHeight="true" outlineLevel="0" collapsed="false">
      <c r="A27" s="14" t="s">
        <v>129</v>
      </c>
      <c r="B27" s="34" t="s">
        <v>120</v>
      </c>
      <c r="C27" s="35" t="n">
        <v>0</v>
      </c>
      <c r="D27" s="27" t="n">
        <f aca="false">C27*Assumptions!$B$6</f>
        <v>0</v>
      </c>
      <c r="E27" s="15" t="s">
        <v>130</v>
      </c>
    </row>
    <row r="28" customFormat="false" ht="24" hidden="false" customHeight="true" outlineLevel="0" collapsed="false">
      <c r="A28" s="14" t="s">
        <v>131</v>
      </c>
      <c r="B28" s="34" t="s">
        <v>120</v>
      </c>
      <c r="C28" s="35" t="n">
        <v>0</v>
      </c>
      <c r="D28" s="27" t="n">
        <f aca="false">C28*Assumptions!$B$6</f>
        <v>0</v>
      </c>
      <c r="E28" s="15" t="s">
        <v>132</v>
      </c>
    </row>
    <row r="29" customFormat="false" ht="24" hidden="false" customHeight="true" outlineLevel="0" collapsed="false">
      <c r="A29" s="14" t="s">
        <v>133</v>
      </c>
      <c r="B29" s="34" t="s">
        <v>134</v>
      </c>
      <c r="C29" s="35" t="n">
        <v>99</v>
      </c>
      <c r="D29" s="27" t="n">
        <f aca="false">C29*Assumptions!$B$6</f>
        <v>12197.79</v>
      </c>
      <c r="E29" s="15" t="s">
        <v>135</v>
      </c>
    </row>
    <row r="30" customFormat="false" ht="24" hidden="false" customHeight="true" outlineLevel="0" collapsed="false">
      <c r="A30" s="14" t="s">
        <v>136</v>
      </c>
      <c r="B30" s="34" t="s">
        <v>137</v>
      </c>
      <c r="C30" s="35" t="n">
        <v>25</v>
      </c>
      <c r="D30" s="27" t="n">
        <f aca="false">C30*Assumptions!$B$6</f>
        <v>3080.25</v>
      </c>
      <c r="E30" s="15" t="s">
        <v>138</v>
      </c>
    </row>
    <row r="31" customFormat="false" ht="24" hidden="false" customHeight="true" outlineLevel="0" collapsed="false">
      <c r="A31" s="14" t="s">
        <v>139</v>
      </c>
      <c r="B31" s="34" t="s">
        <v>134</v>
      </c>
      <c r="C31" s="17" t="n">
        <f aca="false">D31/Assumptions!$B$6</f>
        <v>9.73135297459622</v>
      </c>
      <c r="D31" s="33" t="n">
        <v>1199</v>
      </c>
      <c r="E31" s="15" t="s">
        <v>140</v>
      </c>
    </row>
    <row r="32" customFormat="false" ht="24" hidden="false" customHeight="true" outlineLevel="0" collapsed="false">
      <c r="A32" s="14" t="s">
        <v>141</v>
      </c>
      <c r="B32" s="34" t="s">
        <v>134</v>
      </c>
      <c r="C32" s="17" t="n">
        <f aca="false">D32/Assumptions!$B$6</f>
        <v>20.2905608311014</v>
      </c>
      <c r="D32" s="33" t="n">
        <v>2500</v>
      </c>
      <c r="E32" s="15" t="s">
        <v>142</v>
      </c>
    </row>
    <row r="33" customFormat="false" ht="24" hidden="false" customHeight="true" outlineLevel="0" collapsed="false">
      <c r="A33" s="14" t="s">
        <v>143</v>
      </c>
      <c r="B33" s="34" t="s">
        <v>137</v>
      </c>
      <c r="C33" s="17" t="n">
        <f aca="false">D33/Assumptions!$B$6</f>
        <v>973.946919892866</v>
      </c>
      <c r="D33" s="31" t="n">
        <v>120000</v>
      </c>
      <c r="E33" s="15" t="s">
        <v>144</v>
      </c>
    </row>
    <row r="35" customFormat="false" ht="57.75" hidden="false" customHeight="true" outlineLevel="0" collapsed="false">
      <c r="A35" s="28" t="s">
        <v>145</v>
      </c>
      <c r="B35" s="28"/>
      <c r="C35" s="28"/>
      <c r="D35" s="28"/>
      <c r="E35" s="28"/>
    </row>
  </sheetData>
  <mergeCells count="1">
    <mergeCell ref="A35:E35"/>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Assumptions&amp;R&amp;8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3" style="0" width="14"/>
    <col collapsed="false" customWidth="true" hidden="false" outlineLevel="0" max="5" min="5" style="0" width="52"/>
  </cols>
  <sheetData>
    <row r="1" customFormat="false" ht="21.75" hidden="false" customHeight="true" outlineLevel="0" collapsed="false">
      <c r="A1" s="7" t="s">
        <v>146</v>
      </c>
    </row>
    <row r="2" customFormat="false" ht="13.5" hidden="false" customHeight="true" outlineLevel="0" collapsed="false">
      <c r="A2" s="8" t="s">
        <v>147</v>
      </c>
      <c r="B2" s="9"/>
      <c r="C2" s="9"/>
      <c r="D2" s="9"/>
      <c r="E2" s="9"/>
    </row>
    <row r="4" customFormat="false" ht="18" hidden="false" customHeight="true" outlineLevel="0" collapsed="false">
      <c r="A4" s="5" t="s">
        <v>148</v>
      </c>
    </row>
    <row r="5" customFormat="false" ht="27.75" hidden="false" customHeight="true" outlineLevel="0" collapsed="false">
      <c r="A5" s="10" t="s">
        <v>117</v>
      </c>
      <c r="B5" s="10" t="s">
        <v>39</v>
      </c>
      <c r="C5" s="10" t="s">
        <v>40</v>
      </c>
      <c r="D5" s="10"/>
      <c r="E5" s="10" t="s">
        <v>51</v>
      </c>
    </row>
    <row r="6" customFormat="false" ht="24" hidden="false" customHeight="true" outlineLevel="0" collapsed="false">
      <c r="A6" s="14" t="s">
        <v>149</v>
      </c>
      <c r="B6" s="33" t="n">
        <v>385</v>
      </c>
      <c r="C6" s="17" t="n">
        <f aca="false">B6/Assumptions!$B$6</f>
        <v>3.12474636798961</v>
      </c>
      <c r="D6" s="14"/>
      <c r="E6" s="15" t="s">
        <v>150</v>
      </c>
    </row>
    <row r="7" customFormat="false" ht="24" hidden="false" customHeight="true" outlineLevel="0" collapsed="false">
      <c r="A7" s="14" t="s">
        <v>151</v>
      </c>
      <c r="B7" s="33" t="n">
        <v>350</v>
      </c>
      <c r="C7" s="17" t="n">
        <f aca="false">B7/Assumptions!$B$6</f>
        <v>2.84067851635419</v>
      </c>
      <c r="D7" s="14"/>
      <c r="E7" s="15" t="s">
        <v>152</v>
      </c>
    </row>
    <row r="8" customFormat="false" ht="24" hidden="false" customHeight="true" outlineLevel="0" collapsed="false">
      <c r="A8" s="14" t="s">
        <v>153</v>
      </c>
      <c r="B8" s="33" t="n">
        <v>2000</v>
      </c>
      <c r="C8" s="17" t="n">
        <f aca="false">B8/Assumptions!$B$6</f>
        <v>16.2324486648811</v>
      </c>
      <c r="D8" s="14"/>
      <c r="E8" s="15" t="s">
        <v>154</v>
      </c>
    </row>
    <row r="9" customFormat="false" ht="24" hidden="false" customHeight="true" outlineLevel="0" collapsed="false">
      <c r="A9" s="14" t="s">
        <v>155</v>
      </c>
      <c r="B9" s="33" t="n">
        <v>0</v>
      </c>
      <c r="C9" s="17" t="n">
        <f aca="false">B9/Assumptions!$B$6</f>
        <v>0</v>
      </c>
      <c r="D9" s="14"/>
      <c r="E9" s="15" t="s">
        <v>156</v>
      </c>
    </row>
    <row r="10" customFormat="false" ht="24" hidden="false" customHeight="true" outlineLevel="0" collapsed="false">
      <c r="A10" s="14" t="s">
        <v>157</v>
      </c>
      <c r="B10" s="33" t="n">
        <v>0</v>
      </c>
      <c r="C10" s="17" t="n">
        <f aca="false">B10/Assumptions!$B$6</f>
        <v>0</v>
      </c>
      <c r="D10" s="14"/>
      <c r="E10" s="15" t="s">
        <v>158</v>
      </c>
    </row>
    <row r="11" customFormat="false" ht="24" hidden="false" customHeight="true" outlineLevel="0" collapsed="false">
      <c r="A11" s="14" t="s">
        <v>159</v>
      </c>
      <c r="B11" s="33" t="n">
        <v>0</v>
      </c>
      <c r="C11" s="17" t="n">
        <f aca="false">B11/Assumptions!$B$6</f>
        <v>0</v>
      </c>
      <c r="D11" s="14"/>
      <c r="E11" s="15" t="s">
        <v>160</v>
      </c>
    </row>
    <row r="12" customFormat="false" ht="15" hidden="false" customHeight="false" outlineLevel="0" collapsed="false">
      <c r="A12" s="19" t="s">
        <v>161</v>
      </c>
      <c r="B12" s="20" t="n">
        <f aca="false">SUM(B6:B11)</f>
        <v>2735</v>
      </c>
      <c r="C12" s="21" t="n">
        <f aca="false">B12/Assumptions!$B$6</f>
        <v>22.1978735492249</v>
      </c>
      <c r="D12" s="19"/>
      <c r="E12" s="19"/>
    </row>
    <row r="14" customFormat="false" ht="18" hidden="false" customHeight="true" outlineLevel="0" collapsed="false">
      <c r="A14" s="5" t="s">
        <v>162</v>
      </c>
    </row>
    <row r="15" customFormat="false" ht="27.75" hidden="false" customHeight="true" outlineLevel="0" collapsed="false">
      <c r="A15" s="10" t="s">
        <v>117</v>
      </c>
      <c r="B15" s="10" t="s">
        <v>163</v>
      </c>
      <c r="C15" s="10" t="s">
        <v>164</v>
      </c>
      <c r="D15" s="10"/>
      <c r="E15" s="10" t="s">
        <v>51</v>
      </c>
    </row>
    <row r="16" customFormat="false" ht="25.5" hidden="false" customHeight="true" outlineLevel="0" collapsed="false">
      <c r="A16" s="14" t="s">
        <v>165</v>
      </c>
      <c r="B16" s="33" t="n">
        <v>2000</v>
      </c>
      <c r="C16" s="17" t="n">
        <f aca="false">B16/Assumptions!$B$6</f>
        <v>16.2324486648811</v>
      </c>
      <c r="D16" s="14"/>
      <c r="E16" s="15" t="s">
        <v>166</v>
      </c>
    </row>
    <row r="17" customFormat="false" ht="25.5" hidden="false" customHeight="true" outlineLevel="0" collapsed="false">
      <c r="A17" s="14" t="s">
        <v>167</v>
      </c>
      <c r="B17" s="33" t="n">
        <v>480</v>
      </c>
      <c r="C17" s="17" t="n">
        <f aca="false">B17/Assumptions!$B$6</f>
        <v>3.89578767957146</v>
      </c>
      <c r="D17" s="14"/>
      <c r="E17" s="15" t="s">
        <v>168</v>
      </c>
    </row>
    <row r="18" customFormat="false" ht="25.5" hidden="false" customHeight="true" outlineLevel="0" collapsed="false">
      <c r="A18" s="14" t="s">
        <v>169</v>
      </c>
      <c r="B18" s="27" t="n">
        <f aca="false">0.15*(B16+B17)</f>
        <v>372</v>
      </c>
      <c r="C18" s="17" t="n">
        <f aca="false">B18/Assumptions!$B$6</f>
        <v>3.01923545166788</v>
      </c>
      <c r="D18" s="14"/>
      <c r="E18" s="15" t="s">
        <v>170</v>
      </c>
    </row>
    <row r="19" customFormat="false" ht="25.5" hidden="false" customHeight="true" outlineLevel="0" collapsed="false">
      <c r="A19" s="14" t="s">
        <v>171</v>
      </c>
      <c r="B19" s="33" t="n">
        <v>3000</v>
      </c>
      <c r="C19" s="17" t="n">
        <f aca="false">B19/Assumptions!$B$6</f>
        <v>24.3486729973216</v>
      </c>
      <c r="D19" s="14"/>
      <c r="E19" s="15" t="s">
        <v>172</v>
      </c>
    </row>
    <row r="20" customFormat="false" ht="15" hidden="false" customHeight="false" outlineLevel="0" collapsed="false">
      <c r="A20" s="19" t="s">
        <v>173</v>
      </c>
      <c r="B20" s="20" t="n">
        <f aca="false">SUM(B16:B19)</f>
        <v>5852</v>
      </c>
      <c r="C20" s="21" t="n">
        <f aca="false">B20/Assumptions!$B$6</f>
        <v>47.4961447934421</v>
      </c>
      <c r="D20" s="19"/>
      <c r="E20" s="19"/>
    </row>
    <row r="22" customFormat="false" ht="18" hidden="false" customHeight="true" outlineLevel="0" collapsed="false">
      <c r="A22" s="5" t="s">
        <v>174</v>
      </c>
    </row>
    <row r="23" customFormat="false" ht="27.75" hidden="false" customHeight="true" outlineLevel="0" collapsed="false">
      <c r="A23" s="10" t="s">
        <v>117</v>
      </c>
      <c r="B23" s="10" t="s">
        <v>39</v>
      </c>
      <c r="C23" s="10" t="s">
        <v>40</v>
      </c>
      <c r="D23" s="10"/>
      <c r="E23" s="10" t="s">
        <v>51</v>
      </c>
    </row>
    <row r="24" customFormat="false" ht="33.75" hidden="false" customHeight="true" outlineLevel="0" collapsed="false">
      <c r="A24" s="14" t="s">
        <v>175</v>
      </c>
      <c r="B24" s="31" t="n">
        <v>8500</v>
      </c>
      <c r="C24" s="17" t="n">
        <f aca="false">B24/Assumptions!$B$6</f>
        <v>68.9879068257447</v>
      </c>
      <c r="D24" s="14"/>
      <c r="E24" s="15" t="s">
        <v>176</v>
      </c>
    </row>
    <row r="26" customFormat="false" ht="15" hidden="false" customHeight="false" outlineLevel="0" collapsed="false">
      <c r="A26" s="19" t="s">
        <v>177</v>
      </c>
      <c r="B26" s="20" t="n">
        <f aca="false">B12+B20</f>
        <v>8587</v>
      </c>
      <c r="C26" s="21" t="n">
        <f aca="false">B26/Assumptions!$B$6</f>
        <v>69.694018342667</v>
      </c>
      <c r="D26" s="19"/>
      <c r="E26" s="19"/>
    </row>
    <row r="27" customFormat="false" ht="15" hidden="false" customHeight="false" outlineLevel="0" collapsed="false">
      <c r="A27" s="19" t="s">
        <v>178</v>
      </c>
      <c r="B27" s="20" t="n">
        <f aca="false">B26+B24</f>
        <v>17087</v>
      </c>
      <c r="C27" s="21" t="n">
        <f aca="false">B27/Assumptions!$B$6</f>
        <v>138.681925168412</v>
      </c>
      <c r="D27" s="19"/>
      <c r="E27" s="19"/>
    </row>
    <row r="28" customFormat="false" ht="15" hidden="false" customHeight="false" outlineLevel="0" collapsed="false">
      <c r="A28" s="19" t="s">
        <v>179</v>
      </c>
      <c r="B28" s="20" t="n">
        <f aca="false">B20</f>
        <v>5852</v>
      </c>
      <c r="C28" s="21" t="n">
        <f aca="false">B28/Assumptions!$B$6</f>
        <v>47.4961447934421</v>
      </c>
      <c r="D28" s="19"/>
      <c r="E28" s="19"/>
    </row>
    <row r="30" customFormat="false" ht="57.75" hidden="false" customHeight="true" outlineLevel="0" collapsed="false">
      <c r="A30" s="28" t="s">
        <v>180</v>
      </c>
      <c r="B30" s="28"/>
      <c r="C30" s="28"/>
      <c r="D30" s="28"/>
      <c r="E30" s="28"/>
    </row>
  </sheetData>
  <mergeCells count="1">
    <mergeCell ref="A30:E30"/>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1 Registration&amp;R&amp;8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52"/>
  </cols>
  <sheetData>
    <row r="1" customFormat="false" ht="21.75" hidden="false" customHeight="true" outlineLevel="0" collapsed="false">
      <c r="A1" s="7" t="s">
        <v>181</v>
      </c>
    </row>
    <row r="2" customFormat="false" ht="13.5" hidden="false" customHeight="true" outlineLevel="0" collapsed="false">
      <c r="A2" s="8" t="s">
        <v>182</v>
      </c>
      <c r="B2" s="9"/>
      <c r="C2" s="9"/>
      <c r="D2" s="9"/>
      <c r="E2" s="9"/>
    </row>
    <row r="4" customFormat="false" ht="18" hidden="false" customHeight="true" outlineLevel="0" collapsed="false">
      <c r="A4" s="5" t="s">
        <v>148</v>
      </c>
    </row>
    <row r="5" customFormat="false" ht="27.75" hidden="false" customHeight="true" outlineLevel="0" collapsed="false">
      <c r="A5" s="10" t="s">
        <v>117</v>
      </c>
      <c r="B5" s="10" t="s">
        <v>39</v>
      </c>
      <c r="C5" s="10" t="s">
        <v>40</v>
      </c>
      <c r="D5" s="10" t="s">
        <v>183</v>
      </c>
      <c r="E5" s="10" t="s">
        <v>51</v>
      </c>
    </row>
    <row r="6" customFormat="false" ht="25.5" hidden="false" customHeight="true" outlineLevel="0" collapsed="false">
      <c r="A6" s="14" t="s">
        <v>136</v>
      </c>
      <c r="B6" s="16" t="n">
        <f aca="false">Assumptions!D30</f>
        <v>3080.25</v>
      </c>
      <c r="C6" s="17" t="n">
        <f aca="false">B6/Assumptions!$B$6</f>
        <v>25</v>
      </c>
      <c r="D6" s="34" t="s">
        <v>184</v>
      </c>
      <c r="E6" s="15" t="s">
        <v>185</v>
      </c>
    </row>
    <row r="7" customFormat="false" ht="25.5" hidden="false" customHeight="true" outlineLevel="0" collapsed="false">
      <c r="A7" s="14" t="s">
        <v>143</v>
      </c>
      <c r="B7" s="16" t="n">
        <f aca="false">Assumptions!D33</f>
        <v>120000</v>
      </c>
      <c r="C7" s="17" t="n">
        <f aca="false">B7/Assumptions!$B$6</f>
        <v>973.946919892866</v>
      </c>
      <c r="D7" s="38" t="s">
        <v>186</v>
      </c>
      <c r="E7" s="15" t="s">
        <v>187</v>
      </c>
    </row>
    <row r="8" customFormat="false" ht="25.5" hidden="false" customHeight="true" outlineLevel="0" collapsed="false">
      <c r="A8" s="14" t="s">
        <v>159</v>
      </c>
      <c r="B8" s="33" t="n">
        <v>0</v>
      </c>
      <c r="C8" s="17" t="n">
        <f aca="false">B8/Assumptions!$B$6</f>
        <v>0</v>
      </c>
      <c r="D8" s="34" t="s">
        <v>188</v>
      </c>
      <c r="E8" s="15" t="s">
        <v>189</v>
      </c>
    </row>
    <row r="9" customFormat="false" ht="15" hidden="false" customHeight="false" outlineLevel="0" collapsed="false">
      <c r="A9" s="19" t="s">
        <v>190</v>
      </c>
      <c r="B9" s="20" t="n">
        <f aca="false">B6+B8</f>
        <v>3080.25</v>
      </c>
      <c r="C9" s="21" t="n">
        <f aca="false">B9/Assumptions!$B$6</f>
        <v>25</v>
      </c>
      <c r="D9" s="19"/>
      <c r="E9" s="19"/>
    </row>
    <row r="10" customFormat="false" ht="15" hidden="false" customHeight="false" outlineLevel="0" collapsed="false">
      <c r="A10" s="19" t="s">
        <v>191</v>
      </c>
      <c r="B10" s="20" t="n">
        <f aca="false">SUM(B6:B8)</f>
        <v>123080.25</v>
      </c>
      <c r="C10" s="21" t="n">
        <f aca="false">B10/Assumptions!$B$6</f>
        <v>998.946919892866</v>
      </c>
      <c r="D10" s="19"/>
      <c r="E10" s="19"/>
    </row>
    <row r="12" customFormat="false" ht="18" hidden="false" customHeight="true" outlineLevel="0" collapsed="false">
      <c r="A12" s="5" t="s">
        <v>192</v>
      </c>
    </row>
    <row r="13" customFormat="false" ht="27.75" hidden="false" customHeight="true" outlineLevel="0" collapsed="false">
      <c r="A13" s="10" t="s">
        <v>117</v>
      </c>
      <c r="B13" s="10" t="s">
        <v>163</v>
      </c>
      <c r="C13" s="10" t="s">
        <v>164</v>
      </c>
      <c r="D13" s="10" t="s">
        <v>183</v>
      </c>
      <c r="E13" s="10" t="s">
        <v>51</v>
      </c>
    </row>
    <row r="14" customFormat="false" ht="24" hidden="false" customHeight="true" outlineLevel="0" collapsed="false">
      <c r="A14" s="14" t="s">
        <v>133</v>
      </c>
      <c r="B14" s="16" t="n">
        <f aca="false">Assumptions!D29</f>
        <v>12197.79</v>
      </c>
      <c r="C14" s="17" t="n">
        <f aca="false">B14/Assumptions!$B$6</f>
        <v>99</v>
      </c>
      <c r="D14" s="38" t="s">
        <v>186</v>
      </c>
      <c r="E14" s="15" t="s">
        <v>193</v>
      </c>
    </row>
    <row r="15" customFormat="false" ht="24" hidden="false" customHeight="true" outlineLevel="0" collapsed="false">
      <c r="A15" s="14" t="s">
        <v>139</v>
      </c>
      <c r="B15" s="16" t="n">
        <f aca="false">Assumptions!D31</f>
        <v>1199</v>
      </c>
      <c r="C15" s="17" t="n">
        <f aca="false">B15/Assumptions!$B$6</f>
        <v>9.73135297459622</v>
      </c>
      <c r="D15" s="34" t="s">
        <v>184</v>
      </c>
      <c r="E15" s="15" t="s">
        <v>194</v>
      </c>
    </row>
    <row r="16" customFormat="false" ht="24" hidden="false" customHeight="true" outlineLevel="0" collapsed="false">
      <c r="A16" s="14" t="s">
        <v>141</v>
      </c>
      <c r="B16" s="16" t="n">
        <f aca="false">Assumptions!D32</f>
        <v>2500</v>
      </c>
      <c r="C16" s="17" t="n">
        <f aca="false">B16/Assumptions!$B$6</f>
        <v>20.2905608311014</v>
      </c>
      <c r="D16" s="34" t="s">
        <v>184</v>
      </c>
      <c r="E16" s="15" t="s">
        <v>195</v>
      </c>
    </row>
    <row r="17" customFormat="false" ht="15" hidden="false" customHeight="false" outlineLevel="0" collapsed="false">
      <c r="A17" s="19" t="s">
        <v>196</v>
      </c>
      <c r="B17" s="20" t="n">
        <f aca="false">B15+B16</f>
        <v>3699</v>
      </c>
      <c r="C17" s="21" t="n">
        <f aca="false">B17/Assumptions!$B$6</f>
        <v>30.0219138056976</v>
      </c>
      <c r="D17" s="19"/>
      <c r="E17" s="19"/>
    </row>
    <row r="18" customFormat="false" ht="15" hidden="false" customHeight="false" outlineLevel="0" collapsed="false">
      <c r="A18" s="19" t="s">
        <v>197</v>
      </c>
      <c r="B18" s="20" t="n">
        <f aca="false">SUM(B14:B16)</f>
        <v>15896.79</v>
      </c>
      <c r="C18" s="21" t="n">
        <f aca="false">B18/Assumptions!$B$6</f>
        <v>129.021913805698</v>
      </c>
      <c r="D18" s="19"/>
      <c r="E18" s="19"/>
    </row>
    <row r="20" customFormat="false" ht="18" hidden="false" customHeight="true" outlineLevel="0" collapsed="false">
      <c r="A20" s="5" t="s">
        <v>198</v>
      </c>
    </row>
    <row r="21" customFormat="false" ht="27.75" hidden="false" customHeight="true" outlineLevel="0" collapsed="false">
      <c r="A21" s="10" t="s">
        <v>117</v>
      </c>
      <c r="B21" s="10" t="s">
        <v>199</v>
      </c>
      <c r="C21" s="10" t="s">
        <v>200</v>
      </c>
      <c r="D21" s="10" t="s">
        <v>201</v>
      </c>
      <c r="E21" s="10" t="s">
        <v>51</v>
      </c>
    </row>
    <row r="22" customFormat="false" ht="30" hidden="false" customHeight="true" outlineLevel="0" collapsed="false">
      <c r="A22" s="14" t="s">
        <v>202</v>
      </c>
      <c r="B22" s="16" t="n">
        <f aca="false">Assumptions!D23</f>
        <v>12197.79</v>
      </c>
      <c r="C22" s="17" t="n">
        <f aca="false">B22/Assumptions!$B$6</f>
        <v>99</v>
      </c>
      <c r="D22" s="18" t="n">
        <f aca="false">IFERROR(B22/$B$28,0)</f>
        <v>0.651959170233783</v>
      </c>
      <c r="E22" s="15" t="s">
        <v>203</v>
      </c>
    </row>
    <row r="23" customFormat="false" ht="30" hidden="false" customHeight="true" outlineLevel="0" collapsed="false">
      <c r="A23" s="14" t="s">
        <v>204</v>
      </c>
      <c r="B23" s="16" t="n">
        <f aca="false">Assumptions!D24*Assumptions!$B$12</f>
        <v>240.2595</v>
      </c>
      <c r="C23" s="17" t="n">
        <f aca="false">B23/Assumptions!$B$6</f>
        <v>1.95</v>
      </c>
      <c r="D23" s="18" t="n">
        <f aca="false">IFERROR(B23/$B$28,0)</f>
        <v>0.0128416200197563</v>
      </c>
      <c r="E23" s="15" t="s">
        <v>205</v>
      </c>
    </row>
    <row r="24" customFormat="false" ht="30" hidden="false" customHeight="true" outlineLevel="0" collapsed="false">
      <c r="A24" s="14" t="s">
        <v>206</v>
      </c>
      <c r="B24" s="16" t="n">
        <f aca="false">Assumptions!D25</f>
        <v>3080.25</v>
      </c>
      <c r="C24" s="17" t="n">
        <f aca="false">B24/Assumptions!$B$6</f>
        <v>25</v>
      </c>
      <c r="D24" s="18" t="n">
        <f aca="false">IFERROR(B24/$B$28,0)</f>
        <v>0.16463615409944</v>
      </c>
      <c r="E24" s="15" t="s">
        <v>126</v>
      </c>
    </row>
    <row r="25" customFormat="false" ht="30" hidden="false" customHeight="true" outlineLevel="0" collapsed="false">
      <c r="A25" s="14" t="s">
        <v>207</v>
      </c>
      <c r="B25" s="16" t="n">
        <f aca="false">Assumptions!D26</f>
        <v>3191.139</v>
      </c>
      <c r="C25" s="17" t="n">
        <f aca="false">B25/Assumptions!$B$6</f>
        <v>25.9</v>
      </c>
      <c r="D25" s="18" t="n">
        <f aca="false">IFERROR(B25/$B$28,0)</f>
        <v>0.17056305564702</v>
      </c>
      <c r="E25" s="15" t="s">
        <v>128</v>
      </c>
    </row>
    <row r="26" customFormat="false" ht="30" hidden="false" customHeight="true" outlineLevel="0" collapsed="false">
      <c r="A26" s="14" t="s">
        <v>208</v>
      </c>
      <c r="B26" s="16" t="n">
        <f aca="false">Assumptions!D27</f>
        <v>0</v>
      </c>
      <c r="C26" s="17" t="n">
        <f aca="false">B26/Assumptions!$B$6</f>
        <v>0</v>
      </c>
      <c r="D26" s="18" t="n">
        <f aca="false">IFERROR(B26/$B$28,0)</f>
        <v>0</v>
      </c>
      <c r="E26" s="15" t="s">
        <v>209</v>
      </c>
    </row>
    <row r="27" customFormat="false" ht="30" hidden="false" customHeight="true" outlineLevel="0" collapsed="false">
      <c r="A27" s="14" t="s">
        <v>131</v>
      </c>
      <c r="B27" s="16" t="n">
        <f aca="false">Assumptions!D28</f>
        <v>0</v>
      </c>
      <c r="C27" s="17" t="n">
        <f aca="false">B27/Assumptions!$B$6</f>
        <v>0</v>
      </c>
      <c r="D27" s="18" t="n">
        <f aca="false">IFERROR(B27/$B$28,0)</f>
        <v>0</v>
      </c>
      <c r="E27" s="15" t="s">
        <v>210</v>
      </c>
    </row>
    <row r="28" customFormat="false" ht="15" hidden="false" customHeight="false" outlineLevel="0" collapsed="false">
      <c r="A28" s="19" t="s">
        <v>211</v>
      </c>
      <c r="B28" s="20" t="n">
        <f aca="false">SUM(B22:B27)</f>
        <v>18709.4385</v>
      </c>
      <c r="C28" s="21" t="n">
        <f aca="false">B28/Assumptions!$B$6</f>
        <v>151.85</v>
      </c>
      <c r="D28" s="22" t="n">
        <f aca="false">SUM(D22:D27)</f>
        <v>1</v>
      </c>
      <c r="E28" s="19"/>
    </row>
    <row r="29" customFormat="false" ht="15" hidden="false" customHeight="false" outlineLevel="0" collapsed="false">
      <c r="A29" s="19" t="s">
        <v>212</v>
      </c>
      <c r="B29" s="20" t="n">
        <f aca="false">B28*12</f>
        <v>224513.262</v>
      </c>
      <c r="C29" s="21" t="n">
        <f aca="false">B29/Assumptions!$B$6</f>
        <v>1822.2</v>
      </c>
      <c r="D29" s="19"/>
      <c r="E29" s="19"/>
    </row>
    <row r="31" customFormat="false" ht="15" hidden="false" customHeight="false" outlineLevel="0" collapsed="false">
      <c r="A31" s="19" t="s">
        <v>213</v>
      </c>
      <c r="B31" s="20" t="n">
        <f aca="false">B9+B17+B29</f>
        <v>231292.512</v>
      </c>
      <c r="C31" s="21" t="n">
        <f aca="false">B31/Assumptions!$B$6</f>
        <v>1877.2219138057</v>
      </c>
      <c r="D31" s="19"/>
      <c r="E31" s="19"/>
    </row>
    <row r="32" customFormat="false" ht="15" hidden="false" customHeight="false" outlineLevel="0" collapsed="false">
      <c r="A32" s="19" t="s">
        <v>214</v>
      </c>
      <c r="B32" s="20" t="n">
        <f aca="false">B10+B18+B29</f>
        <v>363490.302</v>
      </c>
      <c r="C32" s="21" t="n">
        <f aca="false">B32/Assumptions!$B$6</f>
        <v>2950.16883369856</v>
      </c>
      <c r="D32" s="19"/>
      <c r="E32" s="19"/>
    </row>
    <row r="33" customFormat="false" ht="15" hidden="false" customHeight="false" outlineLevel="0" collapsed="false">
      <c r="A33" s="19" t="s">
        <v>215</v>
      </c>
      <c r="B33" s="20" t="n">
        <f aca="false">B17+B29</f>
        <v>228212.262</v>
      </c>
      <c r="C33" s="21" t="n">
        <f aca="false">B33/Assumptions!$B$6</f>
        <v>1852.2219138057</v>
      </c>
      <c r="D33" s="19"/>
      <c r="E33" s="19"/>
    </row>
    <row r="35" customFormat="false" ht="39.75" hidden="false" customHeight="true" outlineLevel="0" collapsed="false">
      <c r="A35" s="28" t="s">
        <v>216</v>
      </c>
      <c r="B35" s="28"/>
      <c r="C35" s="28"/>
      <c r="D35" s="28"/>
      <c r="E35" s="28"/>
    </row>
    <row r="36" customFormat="false" ht="39.75" hidden="false" customHeight="true" outlineLevel="0" collapsed="false">
      <c r="A36" s="28" t="s">
        <v>217</v>
      </c>
      <c r="B36" s="28"/>
      <c r="C36" s="28"/>
      <c r="D36" s="28"/>
      <c r="E36" s="28"/>
    </row>
  </sheetData>
  <mergeCells count="2">
    <mergeCell ref="A35:E35"/>
    <mergeCell ref="A36:E36"/>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2 Technology&amp;R&amp;8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4" min="3" style="0" width="14"/>
    <col collapsed="false" customWidth="true" hidden="false" outlineLevel="0" max="5" min="5" style="0" width="18"/>
    <col collapsed="false" customWidth="true" hidden="false" outlineLevel="0" max="6" min="6" style="0" width="44"/>
  </cols>
  <sheetData>
    <row r="1" customFormat="false" ht="21.75" hidden="false" customHeight="true" outlineLevel="0" collapsed="false">
      <c r="A1" s="7" t="s">
        <v>218</v>
      </c>
    </row>
    <row r="2" customFormat="false" ht="13.5" hidden="false" customHeight="true" outlineLevel="0" collapsed="false">
      <c r="A2" s="8" t="s">
        <v>219</v>
      </c>
      <c r="B2" s="9"/>
      <c r="C2" s="9"/>
      <c r="D2" s="9"/>
      <c r="E2" s="9"/>
      <c r="F2" s="9"/>
    </row>
    <row r="4" customFormat="false" ht="18" hidden="false" customHeight="true" outlineLevel="0" collapsed="false">
      <c r="A4" s="5" t="s">
        <v>220</v>
      </c>
    </row>
    <row r="5" customFormat="false" ht="27.75" hidden="false" customHeight="true" outlineLevel="0" collapsed="false">
      <c r="A5" s="10"/>
      <c r="B5" s="10"/>
      <c r="C5" s="10" t="s">
        <v>39</v>
      </c>
      <c r="D5" s="10" t="s">
        <v>40</v>
      </c>
      <c r="E5" s="10"/>
      <c r="F5" s="10" t="s">
        <v>51</v>
      </c>
    </row>
    <row r="6" customFormat="false" ht="21.75" hidden="false" customHeight="true" outlineLevel="0" collapsed="false">
      <c r="A6" s="14" t="s">
        <v>221</v>
      </c>
      <c r="B6" s="14"/>
      <c r="C6" s="27" t="n">
        <f aca="false">D6*Assumptions!$B$6</f>
        <v>49284</v>
      </c>
      <c r="D6" s="29" t="n">
        <v>400</v>
      </c>
      <c r="E6" s="14"/>
      <c r="F6" s="15" t="s">
        <v>222</v>
      </c>
    </row>
    <row r="7" customFormat="false" ht="21.75" hidden="false" customHeight="true" outlineLevel="0" collapsed="false">
      <c r="A7" s="14" t="s">
        <v>223</v>
      </c>
      <c r="B7" s="14"/>
      <c r="C7" s="16" t="n">
        <f aca="false">Assumptions!$B$17</f>
        <v>4750</v>
      </c>
      <c r="D7" s="17" t="n">
        <f aca="false">C7/Assumptions!$B$6</f>
        <v>38.5520655790926</v>
      </c>
      <c r="E7" s="14"/>
      <c r="F7" s="15" t="s">
        <v>224</v>
      </c>
    </row>
    <row r="8" customFormat="false" ht="21.75" hidden="false" customHeight="true" outlineLevel="0" collapsed="false">
      <c r="A8" s="14" t="s">
        <v>225</v>
      </c>
      <c r="B8" s="14"/>
      <c r="C8" s="39" t="n">
        <f aca="false">IFERROR(C6/C7,0)</f>
        <v>10.3755789473684</v>
      </c>
      <c r="D8" s="14"/>
      <c r="E8" s="14"/>
      <c r="F8" s="15" t="s">
        <v>226</v>
      </c>
    </row>
    <row r="10" customFormat="false" ht="18" hidden="false" customHeight="true" outlineLevel="0" collapsed="false">
      <c r="A10" s="5" t="s">
        <v>227</v>
      </c>
    </row>
    <row r="11" customFormat="false" ht="27.75" hidden="false" customHeight="true" outlineLevel="0" collapsed="false">
      <c r="A11" s="10" t="s">
        <v>228</v>
      </c>
      <c r="B11" s="10" t="s">
        <v>229</v>
      </c>
      <c r="C11" s="10" t="s">
        <v>230</v>
      </c>
      <c r="D11" s="10" t="s">
        <v>231</v>
      </c>
      <c r="E11" s="10" t="s">
        <v>232</v>
      </c>
      <c r="F11" s="10" t="s">
        <v>51</v>
      </c>
    </row>
    <row r="12" customFormat="false" ht="30" hidden="false" customHeight="true" outlineLevel="0" collapsed="false">
      <c r="A12" s="14" t="s">
        <v>233</v>
      </c>
      <c r="B12" s="40" t="n">
        <v>18</v>
      </c>
      <c r="C12" s="27" t="n">
        <f aca="false">B12*Assumptions!$B$17</f>
        <v>85500</v>
      </c>
      <c r="D12" s="17" t="n">
        <f aca="false">C12/Assumptions!$B$6</f>
        <v>693.937180423667</v>
      </c>
      <c r="E12" s="38" t="s">
        <v>234</v>
      </c>
      <c r="F12" s="15" t="s">
        <v>235</v>
      </c>
    </row>
    <row r="13" customFormat="false" ht="30" hidden="false" customHeight="true" outlineLevel="0" collapsed="false">
      <c r="A13" s="14" t="s">
        <v>236</v>
      </c>
      <c r="B13" s="40" t="n">
        <v>5</v>
      </c>
      <c r="C13" s="27" t="n">
        <f aca="false">B13*Assumptions!$B$17</f>
        <v>23750</v>
      </c>
      <c r="D13" s="17" t="n">
        <f aca="false">C13/Assumptions!$B$6</f>
        <v>192.760327895463</v>
      </c>
      <c r="E13" s="41" t="s">
        <v>237</v>
      </c>
      <c r="F13" s="15" t="s">
        <v>238</v>
      </c>
    </row>
    <row r="14" customFormat="false" ht="30" hidden="false" customHeight="true" outlineLevel="0" collapsed="false">
      <c r="A14" s="14" t="s">
        <v>239</v>
      </c>
      <c r="B14" s="40" t="n">
        <v>3</v>
      </c>
      <c r="C14" s="27" t="n">
        <f aca="false">B14*Assumptions!$B$17</f>
        <v>14250</v>
      </c>
      <c r="D14" s="17" t="n">
        <f aca="false">C14/Assumptions!$B$6</f>
        <v>115.656196737278</v>
      </c>
      <c r="E14" s="41" t="s">
        <v>237</v>
      </c>
      <c r="F14" s="15" t="s">
        <v>240</v>
      </c>
    </row>
    <row r="15" customFormat="false" ht="30" hidden="false" customHeight="true" outlineLevel="0" collapsed="false">
      <c r="A15" s="14" t="s">
        <v>241</v>
      </c>
      <c r="B15" s="40" t="n">
        <v>4</v>
      </c>
      <c r="C15" s="27" t="n">
        <f aca="false">B15*Assumptions!$B$17</f>
        <v>19000</v>
      </c>
      <c r="D15" s="17" t="n">
        <f aca="false">C15/Assumptions!$B$6</f>
        <v>154.20826231637</v>
      </c>
      <c r="E15" s="38" t="s">
        <v>234</v>
      </c>
      <c r="F15" s="15" t="s">
        <v>242</v>
      </c>
    </row>
    <row r="16" customFormat="false" ht="30" hidden="false" customHeight="true" outlineLevel="0" collapsed="false">
      <c r="A16" s="14" t="s">
        <v>243</v>
      </c>
      <c r="B16" s="40" t="n">
        <v>3</v>
      </c>
      <c r="C16" s="27" t="n">
        <f aca="false">B16*Assumptions!$B$17</f>
        <v>14250</v>
      </c>
      <c r="D16" s="17" t="n">
        <f aca="false">C16/Assumptions!$B$6</f>
        <v>115.656196737278</v>
      </c>
      <c r="E16" s="41" t="s">
        <v>237</v>
      </c>
      <c r="F16" s="15" t="s">
        <v>244</v>
      </c>
    </row>
    <row r="17" customFormat="false" ht="30" hidden="false" customHeight="true" outlineLevel="0" collapsed="false">
      <c r="A17" s="14" t="s">
        <v>245</v>
      </c>
      <c r="B17" s="40" t="n">
        <v>2</v>
      </c>
      <c r="C17" s="27" t="n">
        <f aca="false">B17*Assumptions!$B$17</f>
        <v>9500</v>
      </c>
      <c r="D17" s="17" t="n">
        <f aca="false">C17/Assumptions!$B$6</f>
        <v>77.1041311581852</v>
      </c>
      <c r="E17" s="38" t="s">
        <v>234</v>
      </c>
      <c r="F17" s="15" t="s">
        <v>246</v>
      </c>
    </row>
    <row r="18" customFormat="false" ht="15" hidden="false" customHeight="false" outlineLevel="0" collapsed="false">
      <c r="A18" s="19" t="s">
        <v>247</v>
      </c>
      <c r="B18" s="42" t="n">
        <f aca="false">SUM(B12:B17)</f>
        <v>35</v>
      </c>
      <c r="C18" s="20" t="n">
        <f aca="false">SUM(C12:C17)</f>
        <v>166250</v>
      </c>
      <c r="D18" s="21" t="n">
        <f aca="false">C18/Assumptions!$B$6</f>
        <v>1349.32229526824</v>
      </c>
      <c r="E18" s="19"/>
      <c r="F18" s="19"/>
    </row>
    <row r="20" customFormat="false" ht="18" hidden="false" customHeight="true" outlineLevel="0" collapsed="false">
      <c r="A20" s="5" t="s">
        <v>248</v>
      </c>
    </row>
    <row r="21" customFormat="false" ht="27.75" hidden="false" customHeight="true" outlineLevel="0" collapsed="false">
      <c r="A21" s="10"/>
      <c r="B21" s="10" t="s">
        <v>229</v>
      </c>
      <c r="C21" s="10" t="s">
        <v>230</v>
      </c>
      <c r="D21" s="10" t="s">
        <v>231</v>
      </c>
      <c r="E21" s="10"/>
      <c r="F21" s="10" t="s">
        <v>51</v>
      </c>
    </row>
    <row r="22" customFormat="false" ht="39.75" hidden="false" customHeight="true" outlineLevel="0" collapsed="false">
      <c r="A22" s="43" t="s">
        <v>249</v>
      </c>
      <c r="B22" s="39" t="n">
        <f aca="false">B13+B14+B16</f>
        <v>11</v>
      </c>
      <c r="C22" s="27" t="n">
        <f aca="false">C13+C14+C16</f>
        <v>52250</v>
      </c>
      <c r="D22" s="17" t="n">
        <f aca="false">C22/Assumptions!$B$6</f>
        <v>424.072721370019</v>
      </c>
      <c r="E22" s="14"/>
      <c r="F22" s="15" t="s">
        <v>250</v>
      </c>
    </row>
    <row r="23" customFormat="false" ht="39.75" hidden="false" customHeight="true" outlineLevel="0" collapsed="false">
      <c r="A23" s="43" t="s">
        <v>251</v>
      </c>
      <c r="B23" s="14"/>
      <c r="C23" s="27" t="n">
        <f aca="false">IFERROR($C$6/$B$22,0)</f>
        <v>4480.36363636364</v>
      </c>
      <c r="D23" s="17" t="n">
        <f aca="false">C23/Assumptions!$B$6</f>
        <v>36.3636363636364</v>
      </c>
      <c r="E23" s="14"/>
      <c r="F23" s="15" t="s">
        <v>252</v>
      </c>
    </row>
    <row r="24" customFormat="false" ht="39.75" hidden="false" customHeight="true" outlineLevel="0" collapsed="false">
      <c r="A24" s="43" t="s">
        <v>253</v>
      </c>
      <c r="B24" s="39" t="n">
        <f aca="false">B18-B22</f>
        <v>24</v>
      </c>
      <c r="C24" s="27" t="n">
        <f aca="false">C18-C22</f>
        <v>114000</v>
      </c>
      <c r="D24" s="17" t="n">
        <f aca="false">C24/Assumptions!$B$6</f>
        <v>925.249573898223</v>
      </c>
      <c r="E24" s="14"/>
      <c r="F24" s="15" t="s">
        <v>254</v>
      </c>
    </row>
    <row r="27" customFormat="false" ht="18" hidden="false" customHeight="true" outlineLevel="0" collapsed="false">
      <c r="A27" s="5" t="s">
        <v>255</v>
      </c>
    </row>
    <row r="28" customFormat="false" ht="27.75" hidden="false" customHeight="true" outlineLevel="0" collapsed="false">
      <c r="A28" s="10" t="s">
        <v>256</v>
      </c>
      <c r="B28" s="10" t="s">
        <v>257</v>
      </c>
      <c r="C28" s="10" t="s">
        <v>199</v>
      </c>
      <c r="D28" s="10" t="s">
        <v>200</v>
      </c>
      <c r="E28" s="10"/>
      <c r="F28" s="10" t="s">
        <v>51</v>
      </c>
    </row>
    <row r="29" customFormat="false" ht="30" hidden="false" customHeight="true" outlineLevel="0" collapsed="false">
      <c r="A29" s="14" t="s">
        <v>258</v>
      </c>
      <c r="B29" s="40" t="n">
        <v>0.5</v>
      </c>
      <c r="C29" s="33" t="n">
        <v>0</v>
      </c>
      <c r="D29" s="17" t="n">
        <f aca="false">C29/Assumptions!$B$6</f>
        <v>0</v>
      </c>
      <c r="E29" s="14"/>
      <c r="F29" s="15" t="s">
        <v>259</v>
      </c>
    </row>
    <row r="30" customFormat="false" ht="30" hidden="false" customHeight="true" outlineLevel="0" collapsed="false">
      <c r="A30" s="14" t="s">
        <v>260</v>
      </c>
      <c r="B30" s="40" t="n">
        <v>2</v>
      </c>
      <c r="C30" s="33" t="n">
        <v>40000</v>
      </c>
      <c r="D30" s="17" t="n">
        <f aca="false">C30/Assumptions!$B$6</f>
        <v>324.648973297622</v>
      </c>
      <c r="E30" s="14"/>
      <c r="F30" s="15" t="s">
        <v>261</v>
      </c>
    </row>
    <row r="31" customFormat="false" ht="30" hidden="false" customHeight="true" outlineLevel="0" collapsed="false">
      <c r="A31" s="14" t="s">
        <v>262</v>
      </c>
      <c r="B31" s="40" t="n">
        <v>12</v>
      </c>
      <c r="C31" s="33" t="n">
        <v>240000</v>
      </c>
      <c r="D31" s="17" t="n">
        <f aca="false">C31/Assumptions!$B$6</f>
        <v>1947.89383978573</v>
      </c>
      <c r="E31" s="14"/>
      <c r="F31" s="15" t="s">
        <v>263</v>
      </c>
    </row>
    <row r="33" customFormat="false" ht="15" hidden="false" customHeight="false" outlineLevel="0" collapsed="false">
      <c r="A33" s="19" t="s">
        <v>264</v>
      </c>
      <c r="B33" s="19"/>
      <c r="C33" s="20" t="n">
        <f aca="false">C6</f>
        <v>49284</v>
      </c>
      <c r="D33" s="21" t="n">
        <f aca="false">C33/Assumptions!$B$6</f>
        <v>400</v>
      </c>
      <c r="E33" s="19"/>
      <c r="F33" s="19"/>
    </row>
    <row r="35" customFormat="false" ht="51.75" hidden="false" customHeight="true" outlineLevel="0" collapsed="false">
      <c r="A35" s="28" t="s">
        <v>265</v>
      </c>
      <c r="B35" s="28"/>
      <c r="C35" s="28"/>
      <c r="D35" s="28"/>
      <c r="E35" s="28"/>
      <c r="F35" s="28"/>
    </row>
  </sheetData>
  <mergeCells count="4">
    <mergeCell ref="A6:B6"/>
    <mergeCell ref="A7:B7"/>
    <mergeCell ref="A8:B8"/>
    <mergeCell ref="A35:F35"/>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3 People&amp;R&amp;8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8"/>
    <col collapsed="false" customWidth="true" hidden="false" outlineLevel="0" max="5" min="5" style="0" width="44"/>
  </cols>
  <sheetData>
    <row r="1" customFormat="false" ht="21.75" hidden="false" customHeight="true" outlineLevel="0" collapsed="false">
      <c r="A1" s="7" t="s">
        <v>266</v>
      </c>
    </row>
    <row r="2" customFormat="false" ht="13.5" hidden="false" customHeight="true" outlineLevel="0" collapsed="false">
      <c r="A2" s="8" t="s">
        <v>267</v>
      </c>
      <c r="B2" s="9"/>
      <c r="C2" s="9"/>
      <c r="D2" s="9"/>
      <c r="E2" s="9"/>
    </row>
    <row r="4" customFormat="false" ht="18" hidden="false" customHeight="true" outlineLevel="0" collapsed="false">
      <c r="A4" s="5" t="s">
        <v>268</v>
      </c>
    </row>
    <row r="5" customFormat="false" ht="27.75" hidden="false" customHeight="true" outlineLevel="0" collapsed="false">
      <c r="A5" s="10" t="s">
        <v>269</v>
      </c>
      <c r="B5" s="10" t="s">
        <v>270</v>
      </c>
      <c r="C5" s="10" t="s">
        <v>271</v>
      </c>
      <c r="D5" s="10" t="s">
        <v>262</v>
      </c>
      <c r="E5" s="10" t="s">
        <v>51</v>
      </c>
    </row>
    <row r="6" customFormat="false" ht="27.75" hidden="false" customHeight="true" outlineLevel="0" collapsed="false">
      <c r="A6" s="14" t="s">
        <v>272</v>
      </c>
      <c r="B6" s="44" t="n">
        <f aca="false">'2 Technology'!C22</f>
        <v>99</v>
      </c>
      <c r="C6" s="35" t="n">
        <v>260</v>
      </c>
      <c r="D6" s="35" t="n">
        <v>2602</v>
      </c>
      <c r="E6" s="15" t="s">
        <v>273</v>
      </c>
    </row>
    <row r="7" customFormat="false" ht="27.75" hidden="false" customHeight="true" outlineLevel="0" collapsed="false">
      <c r="A7" s="14" t="s">
        <v>204</v>
      </c>
      <c r="B7" s="44" t="n">
        <f aca="false">'2 Technology'!C23</f>
        <v>1.95</v>
      </c>
      <c r="C7" s="35" t="n">
        <v>19.5</v>
      </c>
      <c r="D7" s="35" t="n">
        <v>195</v>
      </c>
      <c r="E7" s="15" t="s">
        <v>274</v>
      </c>
    </row>
    <row r="8" customFormat="false" ht="27.75" hidden="false" customHeight="true" outlineLevel="0" collapsed="false">
      <c r="A8" s="14" t="s">
        <v>275</v>
      </c>
      <c r="B8" s="44" t="n">
        <f aca="false">'2 Technology'!C24</f>
        <v>25</v>
      </c>
      <c r="C8" s="35" t="n">
        <v>85</v>
      </c>
      <c r="D8" s="35" t="n">
        <v>770</v>
      </c>
      <c r="E8" s="15" t="s">
        <v>276</v>
      </c>
    </row>
    <row r="9" customFormat="false" ht="27.75" hidden="false" customHeight="true" outlineLevel="0" collapsed="false">
      <c r="A9" s="14" t="s">
        <v>277</v>
      </c>
      <c r="B9" s="44" t="n">
        <f aca="false">'2 Technology'!C25</f>
        <v>25.9</v>
      </c>
      <c r="C9" s="35" t="n">
        <v>25.9</v>
      </c>
      <c r="D9" s="35" t="n">
        <v>129</v>
      </c>
      <c r="E9" s="15" t="s">
        <v>278</v>
      </c>
    </row>
    <row r="10" customFormat="false" ht="27.75" hidden="false" customHeight="true" outlineLevel="0" collapsed="false">
      <c r="A10" s="14" t="s">
        <v>279</v>
      </c>
      <c r="B10" s="44" t="n">
        <f aca="false">'2 Technology'!C26</f>
        <v>0</v>
      </c>
      <c r="C10" s="35" t="n">
        <v>0</v>
      </c>
      <c r="D10" s="35" t="n">
        <v>505</v>
      </c>
      <c r="E10" s="15" t="s">
        <v>280</v>
      </c>
    </row>
    <row r="11" customFormat="false" ht="27.75" hidden="false" customHeight="true" outlineLevel="0" collapsed="false">
      <c r="A11" s="14" t="s">
        <v>281</v>
      </c>
      <c r="B11" s="35" t="n">
        <v>0</v>
      </c>
      <c r="C11" s="35" t="n">
        <v>101</v>
      </c>
      <c r="D11" s="35" t="n">
        <v>48</v>
      </c>
      <c r="E11" s="15" t="s">
        <v>282</v>
      </c>
    </row>
    <row r="12" customFormat="false" ht="27.75" hidden="false" customHeight="true" outlineLevel="0" collapsed="false">
      <c r="A12" s="14" t="s">
        <v>283</v>
      </c>
      <c r="B12" s="44" t="n">
        <f aca="false">'3 People'!D29</f>
        <v>0</v>
      </c>
      <c r="C12" s="44" t="n">
        <f aca="false">'3 People'!D30</f>
        <v>324.648973297622</v>
      </c>
      <c r="D12" s="44" t="n">
        <f aca="false">'3 People'!D31</f>
        <v>1947.89383978573</v>
      </c>
      <c r="E12" s="15" t="s">
        <v>284</v>
      </c>
    </row>
    <row r="13" customFormat="false" ht="15" hidden="false" customHeight="false" outlineLevel="0" collapsed="false">
      <c r="A13" s="19" t="s">
        <v>285</v>
      </c>
      <c r="B13" s="21" t="n">
        <f aca="false">SUM(B6:B12)</f>
        <v>151.85</v>
      </c>
      <c r="C13" s="21" t="n">
        <f aca="false">SUM(C6:C12)</f>
        <v>816.048973297622</v>
      </c>
      <c r="D13" s="21" t="n">
        <f aca="false">SUM(D6:D12)</f>
        <v>6196.89383978573</v>
      </c>
      <c r="E13" s="19"/>
    </row>
    <row r="14" customFormat="false" ht="15" hidden="false" customHeight="false" outlineLevel="0" collapsed="false">
      <c r="A14" s="19" t="s">
        <v>286</v>
      </c>
      <c r="B14" s="20" t="n">
        <f aca="false">B13*Assumptions!$B$6</f>
        <v>18709.4385</v>
      </c>
      <c r="C14" s="20" t="n">
        <f aca="false">C13*Assumptions!$B$6</f>
        <v>100545.394</v>
      </c>
      <c r="D14" s="20" t="n">
        <f aca="false">D13*Assumptions!$B$6</f>
        <v>763519.29</v>
      </c>
      <c r="E14" s="19"/>
    </row>
    <row r="15" customFormat="false" ht="15" hidden="false" customHeight="false" outlineLevel="0" collapsed="false">
      <c r="A15" s="19" t="s">
        <v>287</v>
      </c>
      <c r="B15" s="20" t="n">
        <f aca="false">B14*12</f>
        <v>224513.262</v>
      </c>
      <c r="C15" s="20" t="n">
        <f aca="false">C14*12</f>
        <v>1206544.728</v>
      </c>
      <c r="D15" s="20" t="n">
        <f aca="false">D14*12</f>
        <v>9162231.48</v>
      </c>
      <c r="E15" s="19"/>
    </row>
    <row r="17" customFormat="false" ht="57.75" hidden="false" customHeight="true" outlineLevel="0" collapsed="false">
      <c r="A17" s="28" t="s">
        <v>288</v>
      </c>
      <c r="B17" s="28"/>
      <c r="C17" s="28"/>
      <c r="D17" s="28"/>
      <c r="E17" s="28"/>
    </row>
  </sheetData>
  <mergeCells count="1">
    <mergeCell ref="A17:E17"/>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Run Rate&amp;R&amp;8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N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3" min="2" style="0" width="12"/>
    <col collapsed="false" customWidth="true" hidden="false" outlineLevel="0" max="14" min="14" style="0" width="14"/>
  </cols>
  <sheetData>
    <row r="1" customFormat="false" ht="21.75" hidden="false" customHeight="true" outlineLevel="0" collapsed="false">
      <c r="A1" s="7" t="s">
        <v>289</v>
      </c>
    </row>
    <row r="2" customFormat="false" ht="13.5" hidden="false" customHeight="true" outlineLevel="0" collapsed="false">
      <c r="A2" s="8" t="s">
        <v>290</v>
      </c>
      <c r="B2" s="9"/>
      <c r="C2" s="9"/>
      <c r="D2" s="9"/>
      <c r="E2" s="9"/>
      <c r="F2" s="9"/>
      <c r="G2" s="9"/>
      <c r="H2" s="9"/>
      <c r="I2" s="9"/>
      <c r="J2" s="9"/>
      <c r="K2" s="9"/>
      <c r="L2" s="9"/>
      <c r="M2" s="9"/>
      <c r="N2" s="9"/>
    </row>
    <row r="5" customFormat="false" ht="27.75" hidden="false" customHeight="true" outlineLevel="0" collapsed="false">
      <c r="A5" s="10" t="s">
        <v>269</v>
      </c>
      <c r="B5" s="10" t="s">
        <v>291</v>
      </c>
      <c r="C5" s="10" t="s">
        <v>292</v>
      </c>
      <c r="D5" s="10" t="s">
        <v>293</v>
      </c>
      <c r="E5" s="10" t="s">
        <v>294</v>
      </c>
      <c r="F5" s="10" t="s">
        <v>295</v>
      </c>
      <c r="G5" s="10" t="s">
        <v>296</v>
      </c>
      <c r="H5" s="10" t="s">
        <v>297</v>
      </c>
      <c r="I5" s="10" t="s">
        <v>298</v>
      </c>
      <c r="J5" s="10" t="s">
        <v>299</v>
      </c>
      <c r="K5" s="10" t="s">
        <v>300</v>
      </c>
      <c r="L5" s="10" t="s">
        <v>301</v>
      </c>
      <c r="M5" s="10" t="s">
        <v>302</v>
      </c>
      <c r="N5" s="10" t="s">
        <v>303</v>
      </c>
    </row>
    <row r="6" customFormat="false" ht="19.5" hidden="false" customHeight="true" outlineLevel="0" collapsed="false">
      <c r="A6" s="14" t="s">
        <v>304</v>
      </c>
      <c r="B6" s="16" t="n">
        <f aca="false">'1 Registration'!B12</f>
        <v>2735</v>
      </c>
      <c r="C6" s="33" t="n">
        <v>0</v>
      </c>
      <c r="D6" s="33" t="n">
        <v>0</v>
      </c>
      <c r="E6" s="33" t="n">
        <v>0</v>
      </c>
      <c r="F6" s="33" t="n">
        <v>0</v>
      </c>
      <c r="G6" s="33" t="n">
        <v>0</v>
      </c>
      <c r="H6" s="33" t="n">
        <v>0</v>
      </c>
      <c r="I6" s="33" t="n">
        <v>0</v>
      </c>
      <c r="J6" s="33" t="n">
        <v>0</v>
      </c>
      <c r="K6" s="33" t="n">
        <v>0</v>
      </c>
      <c r="L6" s="33" t="n">
        <v>0</v>
      </c>
      <c r="M6" s="33" t="n">
        <v>0</v>
      </c>
      <c r="N6" s="45" t="n">
        <f aca="false">SUM(B6:M6)</f>
        <v>2735</v>
      </c>
    </row>
    <row r="7" customFormat="false" ht="19.5" hidden="false" customHeight="true" outlineLevel="0" collapsed="false">
      <c r="A7" s="14" t="s">
        <v>305</v>
      </c>
      <c r="B7" s="16" t="n">
        <f aca="false">'1 Registration'!B20</f>
        <v>5852</v>
      </c>
      <c r="C7" s="33" t="n">
        <v>0</v>
      </c>
      <c r="D7" s="33" t="n">
        <v>0</v>
      </c>
      <c r="E7" s="33" t="n">
        <v>0</v>
      </c>
      <c r="F7" s="33" t="n">
        <v>0</v>
      </c>
      <c r="G7" s="33" t="n">
        <v>0</v>
      </c>
      <c r="H7" s="33" t="n">
        <v>0</v>
      </c>
      <c r="I7" s="33" t="n">
        <v>0</v>
      </c>
      <c r="J7" s="33" t="n">
        <v>0</v>
      </c>
      <c r="K7" s="33" t="n">
        <v>0</v>
      </c>
      <c r="L7" s="33" t="n">
        <v>0</v>
      </c>
      <c r="M7" s="33" t="n">
        <v>0</v>
      </c>
      <c r="N7" s="45" t="n">
        <f aca="false">SUM(B7:M7)</f>
        <v>5852</v>
      </c>
    </row>
    <row r="8" customFormat="false" ht="19.5" hidden="false" customHeight="true" outlineLevel="0" collapsed="false">
      <c r="A8" s="14" t="s">
        <v>306</v>
      </c>
      <c r="B8" s="16" t="n">
        <f aca="false">'2 Technology'!B6</f>
        <v>3080.25</v>
      </c>
      <c r="C8" s="33" t="n">
        <v>0</v>
      </c>
      <c r="D8" s="33" t="n">
        <v>0</v>
      </c>
      <c r="E8" s="33" t="n">
        <v>0</v>
      </c>
      <c r="F8" s="33" t="n">
        <v>0</v>
      </c>
      <c r="G8" s="33" t="n">
        <v>0</v>
      </c>
      <c r="H8" s="33" t="n">
        <v>0</v>
      </c>
      <c r="I8" s="33" t="n">
        <v>0</v>
      </c>
      <c r="J8" s="33" t="n">
        <v>0</v>
      </c>
      <c r="K8" s="33" t="n">
        <v>0</v>
      </c>
      <c r="L8" s="33" t="n">
        <v>0</v>
      </c>
      <c r="M8" s="33" t="n">
        <v>0</v>
      </c>
      <c r="N8" s="45" t="n">
        <f aca="false">SUM(B8:M8)</f>
        <v>3080.25</v>
      </c>
    </row>
    <row r="9" customFormat="false" ht="19.5" hidden="false" customHeight="true" outlineLevel="0" collapsed="false">
      <c r="A9" s="14" t="s">
        <v>307</v>
      </c>
      <c r="B9" s="16" t="n">
        <f aca="false">'2 Technology'!B17</f>
        <v>3699</v>
      </c>
      <c r="C9" s="33" t="n">
        <v>0</v>
      </c>
      <c r="D9" s="33" t="n">
        <v>0</v>
      </c>
      <c r="E9" s="33" t="n">
        <v>0</v>
      </c>
      <c r="F9" s="33" t="n">
        <v>0</v>
      </c>
      <c r="G9" s="33" t="n">
        <v>0</v>
      </c>
      <c r="H9" s="33" t="n">
        <v>0</v>
      </c>
      <c r="I9" s="33" t="n">
        <v>0</v>
      </c>
      <c r="J9" s="33" t="n">
        <v>0</v>
      </c>
      <c r="K9" s="33" t="n">
        <v>0</v>
      </c>
      <c r="L9" s="33" t="n">
        <v>0</v>
      </c>
      <c r="M9" s="33" t="n">
        <v>0</v>
      </c>
      <c r="N9" s="45" t="n">
        <f aca="false">SUM(B9:M9)</f>
        <v>3699</v>
      </c>
    </row>
    <row r="10" customFormat="false" ht="19.5" hidden="false" customHeight="true" outlineLevel="0" collapsed="false">
      <c r="A10" s="14" t="s">
        <v>308</v>
      </c>
      <c r="B10" s="16" t="n">
        <f aca="false">'3 People'!C6</f>
        <v>49284</v>
      </c>
      <c r="C10" s="33" t="n">
        <v>0</v>
      </c>
      <c r="D10" s="33" t="n">
        <v>0</v>
      </c>
      <c r="E10" s="33" t="n">
        <v>0</v>
      </c>
      <c r="F10" s="33" t="n">
        <v>0</v>
      </c>
      <c r="G10" s="33" t="n">
        <v>0</v>
      </c>
      <c r="H10" s="33" t="n">
        <v>0</v>
      </c>
      <c r="I10" s="33" t="n">
        <v>0</v>
      </c>
      <c r="J10" s="33" t="n">
        <v>0</v>
      </c>
      <c r="K10" s="33" t="n">
        <v>0</v>
      </c>
      <c r="L10" s="33" t="n">
        <v>0</v>
      </c>
      <c r="M10" s="33" t="n">
        <v>0</v>
      </c>
      <c r="N10" s="45" t="n">
        <f aca="false">SUM(B10:M10)</f>
        <v>49284</v>
      </c>
    </row>
    <row r="11" customFormat="false" ht="19.5" hidden="false" customHeight="true" outlineLevel="0" collapsed="false">
      <c r="A11" s="14" t="s">
        <v>309</v>
      </c>
      <c r="B11" s="16" t="n">
        <f aca="false">'2 Technology'!$B$28</f>
        <v>18709.4385</v>
      </c>
      <c r="C11" s="16" t="n">
        <f aca="false">'2 Technology'!$B$28</f>
        <v>18709.4385</v>
      </c>
      <c r="D11" s="16" t="n">
        <f aca="false">'2 Technology'!$B$28</f>
        <v>18709.4385</v>
      </c>
      <c r="E11" s="16" t="n">
        <f aca="false">'2 Technology'!$B$28</f>
        <v>18709.4385</v>
      </c>
      <c r="F11" s="16" t="n">
        <f aca="false">'2 Technology'!$B$28</f>
        <v>18709.4385</v>
      </c>
      <c r="G11" s="16" t="n">
        <f aca="false">'2 Technology'!$B$28</f>
        <v>18709.4385</v>
      </c>
      <c r="H11" s="16" t="n">
        <f aca="false">'2 Technology'!$B$28</f>
        <v>18709.4385</v>
      </c>
      <c r="I11" s="16" t="n">
        <f aca="false">'2 Technology'!$B$28</f>
        <v>18709.4385</v>
      </c>
      <c r="J11" s="16" t="n">
        <f aca="false">'2 Technology'!$B$28</f>
        <v>18709.4385</v>
      </c>
      <c r="K11" s="16" t="n">
        <f aca="false">'2 Technology'!$B$28</f>
        <v>18709.4385</v>
      </c>
      <c r="L11" s="16" t="n">
        <f aca="false">'2 Technology'!$B$28</f>
        <v>18709.4385</v>
      </c>
      <c r="M11" s="16" t="n">
        <f aca="false">'2 Technology'!$B$28</f>
        <v>18709.4385</v>
      </c>
      <c r="N11" s="45" t="n">
        <f aca="false">SUM(B11:M11)</f>
        <v>224513.262</v>
      </c>
    </row>
    <row r="12" customFormat="false" ht="15" hidden="false" customHeight="false" outlineLevel="0" collapsed="false">
      <c r="A12" s="19" t="s">
        <v>310</v>
      </c>
      <c r="B12" s="20" t="n">
        <f aca="false">B6+B7+B8+B9+B10+B11</f>
        <v>83359.6885</v>
      </c>
      <c r="C12" s="20" t="n">
        <f aca="false">C6+C7+C8+C9+C10+C11</f>
        <v>18709.4385</v>
      </c>
      <c r="D12" s="20" t="n">
        <f aca="false">D6+D7+D8+D9+D10+D11</f>
        <v>18709.4385</v>
      </c>
      <c r="E12" s="20" t="n">
        <f aca="false">E6+E7+E8+E9+E10+E11</f>
        <v>18709.4385</v>
      </c>
      <c r="F12" s="20" t="n">
        <f aca="false">F6+F7+F8+F9+F10+F11</f>
        <v>18709.4385</v>
      </c>
      <c r="G12" s="20" t="n">
        <f aca="false">G6+G7+G8+G9+G10+G11</f>
        <v>18709.4385</v>
      </c>
      <c r="H12" s="20" t="n">
        <f aca="false">H6+H7+H8+H9+H10+H11</f>
        <v>18709.4385</v>
      </c>
      <c r="I12" s="20" t="n">
        <f aca="false">I6+I7+I8+I9+I10+I11</f>
        <v>18709.4385</v>
      </c>
      <c r="J12" s="20" t="n">
        <f aca="false">J6+J7+J8+J9+J10+J11</f>
        <v>18709.4385</v>
      </c>
      <c r="K12" s="20" t="n">
        <f aca="false">K6+K7+K8+K9+K10+K11</f>
        <v>18709.4385</v>
      </c>
      <c r="L12" s="20" t="n">
        <f aca="false">L6+L7+L8+L9+L10+L11</f>
        <v>18709.4385</v>
      </c>
      <c r="M12" s="20" t="n">
        <f aca="false">M6+M7+M8+M9+M10+M11</f>
        <v>18709.4385</v>
      </c>
      <c r="N12" s="20" t="n">
        <f aca="false">SUM(B12:M12)</f>
        <v>289163.512</v>
      </c>
    </row>
    <row r="13" customFormat="false" ht="15" hidden="false" customHeight="false" outlineLevel="0" collapsed="false">
      <c r="A13" s="25" t="s">
        <v>311</v>
      </c>
      <c r="B13" s="46" t="n">
        <f aca="false">B12</f>
        <v>83359.6885</v>
      </c>
      <c r="C13" s="46" t="n">
        <f aca="false">B13+C12</f>
        <v>102069.127</v>
      </c>
      <c r="D13" s="46" t="n">
        <f aca="false">C13+D12</f>
        <v>120778.5655</v>
      </c>
      <c r="E13" s="46" t="n">
        <f aca="false">D13+E12</f>
        <v>139488.004</v>
      </c>
      <c r="F13" s="46" t="n">
        <f aca="false">E13+F12</f>
        <v>158197.4425</v>
      </c>
      <c r="G13" s="46" t="n">
        <f aca="false">F13+G12</f>
        <v>176906.881</v>
      </c>
      <c r="H13" s="46" t="n">
        <f aca="false">G13+H12</f>
        <v>195616.3195</v>
      </c>
      <c r="I13" s="46" t="n">
        <f aca="false">H13+I12</f>
        <v>214325.758</v>
      </c>
      <c r="J13" s="46" t="n">
        <f aca="false">I13+J12</f>
        <v>233035.1965</v>
      </c>
      <c r="K13" s="46" t="n">
        <f aca="false">J13+K12</f>
        <v>251744.635</v>
      </c>
      <c r="L13" s="46" t="n">
        <f aca="false">K13+L12</f>
        <v>270454.0735</v>
      </c>
      <c r="M13" s="46" t="n">
        <f aca="false">L13+M12</f>
        <v>289163.512</v>
      </c>
      <c r="N13" s="46" t="n">
        <f aca="false">M13</f>
        <v>289163.512</v>
      </c>
    </row>
    <row r="15" customFormat="false" ht="18" hidden="false" customHeight="true" outlineLevel="0" collapsed="false">
      <c r="A15" s="5" t="s">
        <v>312</v>
      </c>
    </row>
    <row r="16" customFormat="false" ht="27.75" hidden="false" customHeight="true" outlineLevel="0" collapsed="false">
      <c r="A16" s="10" t="s">
        <v>117</v>
      </c>
      <c r="B16" s="10" t="s">
        <v>39</v>
      </c>
      <c r="C16" s="10" t="s">
        <v>313</v>
      </c>
      <c r="D16" s="10"/>
      <c r="E16" s="10"/>
      <c r="F16" s="10"/>
      <c r="G16" s="10"/>
      <c r="H16" s="10"/>
      <c r="I16" s="10"/>
      <c r="J16" s="10"/>
      <c r="K16" s="10"/>
      <c r="L16" s="10"/>
      <c r="M16" s="10"/>
      <c r="N16" s="10" t="s">
        <v>51</v>
      </c>
    </row>
    <row r="17" customFormat="false" ht="25.5" hidden="false" customHeight="true" outlineLevel="0" collapsed="false">
      <c r="A17" s="14" t="s">
        <v>314</v>
      </c>
      <c r="B17" s="16" t="n">
        <f aca="false">'1 Registration'!B24</f>
        <v>8500</v>
      </c>
      <c r="C17" s="47" t="s">
        <v>315</v>
      </c>
      <c r="D17" s="47"/>
      <c r="E17" s="47"/>
      <c r="N17" s="15" t="s">
        <v>316</v>
      </c>
    </row>
    <row r="18" customFormat="false" ht="25.5" hidden="false" customHeight="true" outlineLevel="0" collapsed="false">
      <c r="A18" s="14" t="s">
        <v>317</v>
      </c>
      <c r="B18" s="16" t="n">
        <f aca="false">'2 Technology'!B7+'2 Technology'!B14</f>
        <v>132197.79</v>
      </c>
      <c r="C18" s="47" t="s">
        <v>318</v>
      </c>
      <c r="D18" s="47"/>
      <c r="E18" s="47"/>
      <c r="N18" s="15" t="s">
        <v>319</v>
      </c>
    </row>
    <row r="19" customFormat="false" ht="25.5" hidden="false" customHeight="true" outlineLevel="0" collapsed="false">
      <c r="A19" s="14" t="s">
        <v>320</v>
      </c>
      <c r="B19" s="16" t="n">
        <f aca="false">'3 People'!C24</f>
        <v>114000</v>
      </c>
      <c r="C19" s="47" t="s">
        <v>321</v>
      </c>
      <c r="D19" s="47"/>
      <c r="E19" s="47"/>
      <c r="N19" s="15" t="s">
        <v>322</v>
      </c>
    </row>
    <row r="22" customFormat="false" ht="43.5" hidden="false" customHeight="true" outlineLevel="0" collapsed="false">
      <c r="A22" s="28" t="s">
        <v>323</v>
      </c>
      <c r="B22" s="28"/>
      <c r="C22" s="28"/>
      <c r="D22" s="28"/>
      <c r="E22" s="28"/>
      <c r="F22" s="28"/>
      <c r="G22" s="28"/>
      <c r="H22" s="28"/>
      <c r="I22" s="28"/>
      <c r="J22" s="28"/>
      <c r="K22" s="28"/>
      <c r="L22" s="28"/>
      <c r="M22" s="28"/>
      <c r="N22" s="28"/>
    </row>
  </sheetData>
  <mergeCells count="4">
    <mergeCell ref="C17:E17"/>
    <mergeCell ref="C18:E18"/>
    <mergeCell ref="C19:E19"/>
    <mergeCell ref="A22:N22"/>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Cash Flow&amp;R&amp;8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 collapsed="false" customWidth="true" hidden="false" outlineLevel="0" max="5" min="5" style="0" width="13"/>
    <col collapsed="false" customWidth="true" hidden="false" outlineLevel="0" max="6" min="6" style="0" width="20"/>
    <col collapsed="false" customWidth="true" hidden="false" outlineLevel="0" max="7" min="7" style="0" width="50"/>
  </cols>
  <sheetData>
    <row r="1" customFormat="false" ht="21.75" hidden="false" customHeight="true" outlineLevel="0" collapsed="false">
      <c r="A1" s="7" t="s">
        <v>324</v>
      </c>
    </row>
    <row r="2" customFormat="false" ht="13.5" hidden="false" customHeight="true" outlineLevel="0" collapsed="false">
      <c r="A2" s="8" t="s">
        <v>325</v>
      </c>
      <c r="B2" s="9"/>
      <c r="C2" s="9"/>
      <c r="D2" s="9"/>
      <c r="E2" s="9"/>
      <c r="F2" s="9"/>
      <c r="G2" s="9"/>
    </row>
    <row r="4" customFormat="false" ht="27.75" hidden="false" customHeight="true" outlineLevel="0" collapsed="false">
      <c r="A4" s="10" t="s">
        <v>326</v>
      </c>
      <c r="B4" s="10" t="s">
        <v>327</v>
      </c>
      <c r="C4" s="10" t="s">
        <v>328</v>
      </c>
      <c r="D4" s="10" t="s">
        <v>329</v>
      </c>
      <c r="E4" s="10" t="s">
        <v>330</v>
      </c>
      <c r="F4" s="10" t="s">
        <v>331</v>
      </c>
      <c r="G4" s="10" t="s">
        <v>332</v>
      </c>
    </row>
    <row r="5" customFormat="false" ht="21.75" hidden="false" customHeight="true" outlineLevel="0" collapsed="false">
      <c r="A5" s="14" t="s">
        <v>333</v>
      </c>
      <c r="B5" s="31" t="n">
        <v>150</v>
      </c>
      <c r="G5" s="15" t="s">
        <v>334</v>
      </c>
    </row>
    <row r="6" customFormat="false" ht="75.75" hidden="false" customHeight="true" outlineLevel="0" collapsed="false">
      <c r="A6" s="48" t="s">
        <v>335</v>
      </c>
      <c r="B6" s="33" t="n">
        <v>0</v>
      </c>
      <c r="C6" s="33" t="n">
        <v>0</v>
      </c>
      <c r="D6" s="27" t="n">
        <f aca="false">-('2 Technology'!B7+'2 Technology'!B14)</f>
        <v>-132197.79</v>
      </c>
      <c r="E6" s="34" t="s">
        <v>188</v>
      </c>
      <c r="F6" s="49" t="s">
        <v>336</v>
      </c>
      <c r="G6" s="15" t="s">
        <v>337</v>
      </c>
    </row>
    <row r="7" customFormat="false" ht="75.75" hidden="false" customHeight="true" outlineLevel="0" collapsed="false">
      <c r="A7" s="48" t="s">
        <v>338</v>
      </c>
      <c r="B7" s="27" t="n">
        <f aca="false">6*Assumptions!$B$17</f>
        <v>28500</v>
      </c>
      <c r="C7" s="27" t="n">
        <f aca="false">'2 Technology'!B22-$B$5</f>
        <v>12047.79</v>
      </c>
      <c r="D7" s="27" t="n">
        <f aca="false">C7*10-B7</f>
        <v>91977.9</v>
      </c>
      <c r="E7" s="50" t="n">
        <f aca="false">IFERROR(B7/C7,0)</f>
        <v>2.36557908130869</v>
      </c>
      <c r="F7" s="49" t="s">
        <v>339</v>
      </c>
      <c r="G7" s="15" t="s">
        <v>340</v>
      </c>
    </row>
    <row r="8" customFormat="false" ht="75.75" hidden="false" customHeight="true" outlineLevel="0" collapsed="false">
      <c r="A8" s="48" t="s">
        <v>341</v>
      </c>
      <c r="B8" s="27" t="n">
        <f aca="false">3*Assumptions!$B$17</f>
        <v>14250</v>
      </c>
      <c r="C8" s="33" t="n">
        <v>1285</v>
      </c>
      <c r="D8" s="27" t="n">
        <f aca="false">C8*12-B8</f>
        <v>1170</v>
      </c>
      <c r="E8" s="50" t="n">
        <f aca="false">IFERROR(B8/C8,0)</f>
        <v>11.0894941634241</v>
      </c>
      <c r="F8" s="49" t="s">
        <v>342</v>
      </c>
      <c r="G8" s="15" t="s">
        <v>343</v>
      </c>
    </row>
    <row r="9" customFormat="false" ht="75.75" hidden="false" customHeight="true" outlineLevel="0" collapsed="false">
      <c r="A9" s="48" t="s">
        <v>344</v>
      </c>
      <c r="B9" s="27" t="n">
        <f aca="false">'1 Registration'!B24</f>
        <v>8500</v>
      </c>
      <c r="C9" s="33" t="n">
        <v>0</v>
      </c>
      <c r="D9" s="27" t="n">
        <f aca="false">B9</f>
        <v>8500</v>
      </c>
      <c r="E9" s="34" t="s">
        <v>188</v>
      </c>
      <c r="F9" s="49" t="s">
        <v>345</v>
      </c>
      <c r="G9" s="15" t="s">
        <v>346</v>
      </c>
    </row>
    <row r="10" customFormat="false" ht="75.75" hidden="false" customHeight="true" outlineLevel="0" collapsed="false">
      <c r="A10" s="48" t="s">
        <v>347</v>
      </c>
      <c r="B10" s="33" t="n">
        <v>25000</v>
      </c>
      <c r="C10" s="33" t="n">
        <v>0</v>
      </c>
      <c r="D10" s="27" t="n">
        <f aca="false">B10</f>
        <v>25000</v>
      </c>
      <c r="E10" s="34" t="s">
        <v>188</v>
      </c>
      <c r="F10" s="49" t="s">
        <v>348</v>
      </c>
      <c r="G10" s="15" t="s">
        <v>349</v>
      </c>
    </row>
    <row r="11" customFormat="false" ht="15" hidden="false" customHeight="false" outlineLevel="0" collapsed="false">
      <c r="E11" s="14"/>
    </row>
    <row r="12" customFormat="false" ht="25.5" hidden="false" customHeight="true" outlineLevel="0" collapsed="false">
      <c r="A12" s="28" t="s">
        <v>350</v>
      </c>
      <c r="B12" s="28"/>
      <c r="C12" s="28"/>
      <c r="D12" s="28"/>
      <c r="E12" s="28"/>
      <c r="F12" s="28"/>
      <c r="G12" s="28"/>
    </row>
  </sheetData>
  <mergeCells count="1">
    <mergeCell ref="A12:G12"/>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Decisions&amp;R&amp;8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26"/>
    <col collapsed="false" customWidth="true" hidden="false" outlineLevel="0" max="5" min="5" style="0" width="52"/>
  </cols>
  <sheetData>
    <row r="1" customFormat="false" ht="21.75" hidden="false" customHeight="true" outlineLevel="0" collapsed="false">
      <c r="A1" s="7" t="s">
        <v>351</v>
      </c>
    </row>
    <row r="2" customFormat="false" ht="13.5" hidden="false" customHeight="true" outlineLevel="0" collapsed="false">
      <c r="A2" s="8" t="s">
        <v>352</v>
      </c>
      <c r="B2" s="9"/>
      <c r="C2" s="9"/>
      <c r="D2" s="9"/>
      <c r="E2" s="9"/>
    </row>
    <row r="4" customFormat="false" ht="27.75" hidden="false" customHeight="true" outlineLevel="0" collapsed="false">
      <c r="A4" s="10" t="s">
        <v>353</v>
      </c>
      <c r="B4" s="10" t="s">
        <v>354</v>
      </c>
      <c r="C4" s="10" t="s">
        <v>355</v>
      </c>
      <c r="D4" s="10" t="s">
        <v>356</v>
      </c>
      <c r="E4" s="10" t="s">
        <v>357</v>
      </c>
    </row>
    <row r="5" customFormat="false" ht="79.5" hidden="false" customHeight="true" outlineLevel="0" collapsed="false">
      <c r="A5" s="48" t="s">
        <v>358</v>
      </c>
      <c r="B5" s="33" t="n">
        <v>0</v>
      </c>
      <c r="C5" s="17" t="n">
        <f aca="false">B5/Assumptions!$B$6</f>
        <v>0</v>
      </c>
      <c r="D5" s="47" t="s">
        <v>359</v>
      </c>
      <c r="E5" s="15" t="s">
        <v>360</v>
      </c>
    </row>
    <row r="6" customFormat="false" ht="79.5" hidden="false" customHeight="true" outlineLevel="0" collapsed="false">
      <c r="A6" s="48" t="s">
        <v>361</v>
      </c>
      <c r="B6" s="27" t="n">
        <f aca="false">0.1*('2 Technology'!B9+'2 Technology'!B29)</f>
        <v>22759.3512</v>
      </c>
      <c r="C6" s="17" t="n">
        <f aca="false">B6/Assumptions!$B$6</f>
        <v>184.72</v>
      </c>
      <c r="D6" s="47" t="s">
        <v>362</v>
      </c>
      <c r="E6" s="15" t="s">
        <v>363</v>
      </c>
    </row>
    <row r="7" customFormat="false" ht="79.5" hidden="false" customHeight="true" outlineLevel="0" collapsed="false">
      <c r="A7" s="48" t="s">
        <v>364</v>
      </c>
      <c r="B7" s="27" t="n">
        <f aca="false">'3 People'!C24</f>
        <v>114000</v>
      </c>
      <c r="C7" s="17" t="n">
        <f aca="false">B7/Assumptions!$B$6</f>
        <v>925.249573898223</v>
      </c>
      <c r="D7" s="47" t="s">
        <v>321</v>
      </c>
      <c r="E7" s="15" t="s">
        <v>365</v>
      </c>
    </row>
    <row r="8" customFormat="false" ht="79.5" hidden="false" customHeight="true" outlineLevel="0" collapsed="false">
      <c r="A8" s="48" t="s">
        <v>366</v>
      </c>
      <c r="B8" s="27" t="n">
        <f aca="false">'2 Technology'!B28</f>
        <v>18709.4385</v>
      </c>
      <c r="C8" s="17" t="n">
        <f aca="false">B8/Assumptions!$B$6</f>
        <v>151.85</v>
      </c>
      <c r="D8" s="47" t="s">
        <v>367</v>
      </c>
      <c r="E8" s="15" t="s">
        <v>368</v>
      </c>
    </row>
    <row r="9" customFormat="false" ht="79.5" hidden="false" customHeight="true" outlineLevel="0" collapsed="false">
      <c r="A9" s="48" t="s">
        <v>369</v>
      </c>
      <c r="B9" s="27" t="n">
        <f aca="false">505*Assumptions!$B$6</f>
        <v>62221.05</v>
      </c>
      <c r="C9" s="17" t="n">
        <f aca="false">B9/Assumptions!$B$6</f>
        <v>505</v>
      </c>
      <c r="D9" s="47" t="s">
        <v>370</v>
      </c>
      <c r="E9" s="15" t="s">
        <v>371</v>
      </c>
    </row>
    <row r="10" customFormat="false" ht="79.5" hidden="false" customHeight="true" outlineLevel="0" collapsed="false">
      <c r="A10" s="48" t="s">
        <v>372</v>
      </c>
      <c r="B10" s="27" t="n">
        <f aca="false">10*'2 Technology'!B23</f>
        <v>2402.595</v>
      </c>
      <c r="C10" s="17" t="n">
        <f aca="false">B10/Assumptions!$B$6</f>
        <v>19.5</v>
      </c>
      <c r="D10" s="47" t="s">
        <v>373</v>
      </c>
      <c r="E10" s="15" t="s">
        <v>374</v>
      </c>
    </row>
  </sheetData>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Risks&amp;R&amp;8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4C"/>
    <pageSetUpPr fitToPage="tru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4"/>
    <col collapsed="false" customWidth="true" hidden="false" outlineLevel="0" max="4" min="4" style="0" width="40"/>
    <col collapsed="false" customWidth="true" hidden="false" outlineLevel="0" max="5" min="5" style="0" width="20"/>
  </cols>
  <sheetData>
    <row r="1" customFormat="false" ht="21.75" hidden="false" customHeight="true" outlineLevel="0" collapsed="false">
      <c r="A1" s="7" t="s">
        <v>35</v>
      </c>
    </row>
    <row r="2" customFormat="false" ht="13.5" hidden="false" customHeight="true" outlineLevel="0" collapsed="false">
      <c r="A2" s="8" t="s">
        <v>375</v>
      </c>
      <c r="B2" s="9"/>
      <c r="C2" s="9"/>
      <c r="D2" s="9"/>
      <c r="E2" s="9"/>
    </row>
    <row r="4" customFormat="false" ht="27.75" hidden="false" customHeight="true" outlineLevel="0" collapsed="false">
      <c r="A4" s="10" t="s">
        <v>376</v>
      </c>
      <c r="B4" s="10" t="s">
        <v>91</v>
      </c>
      <c r="C4" s="10" t="s">
        <v>377</v>
      </c>
      <c r="D4" s="10" t="s">
        <v>378</v>
      </c>
      <c r="E4" s="10" t="s">
        <v>379</v>
      </c>
    </row>
    <row r="5" customFormat="false" ht="31.5" hidden="false" customHeight="true" outlineLevel="0" collapsed="false">
      <c r="A5" s="43" t="s">
        <v>380</v>
      </c>
      <c r="B5" s="51" t="s">
        <v>381</v>
      </c>
      <c r="C5" s="47" t="s">
        <v>382</v>
      </c>
      <c r="D5" s="15" t="s">
        <v>383</v>
      </c>
      <c r="E5" s="52" t="s">
        <v>384</v>
      </c>
    </row>
    <row r="6" customFormat="false" ht="31.5" hidden="false" customHeight="true" outlineLevel="0" collapsed="false">
      <c r="A6" s="43" t="s">
        <v>385</v>
      </c>
      <c r="B6" s="51" t="s">
        <v>386</v>
      </c>
      <c r="C6" s="47" t="s">
        <v>382</v>
      </c>
      <c r="D6" s="15" t="s">
        <v>387</v>
      </c>
      <c r="E6" s="52" t="s">
        <v>384</v>
      </c>
    </row>
    <row r="7" customFormat="false" ht="31.5" hidden="false" customHeight="true" outlineLevel="0" collapsed="false">
      <c r="A7" s="43" t="s">
        <v>388</v>
      </c>
      <c r="B7" s="51" t="s">
        <v>389</v>
      </c>
      <c r="C7" s="47" t="s">
        <v>382</v>
      </c>
      <c r="D7" s="15" t="s">
        <v>390</v>
      </c>
      <c r="E7" s="53" t="s">
        <v>391</v>
      </c>
    </row>
    <row r="8" customFormat="false" ht="31.5" hidden="false" customHeight="true" outlineLevel="0" collapsed="false">
      <c r="A8" s="43" t="s">
        <v>392</v>
      </c>
      <c r="B8" s="51" t="s">
        <v>393</v>
      </c>
      <c r="C8" s="47" t="s">
        <v>382</v>
      </c>
      <c r="D8" s="15" t="s">
        <v>394</v>
      </c>
      <c r="E8" s="53" t="s">
        <v>395</v>
      </c>
    </row>
    <row r="9" customFormat="false" ht="31.5" hidden="false" customHeight="true" outlineLevel="0" collapsed="false">
      <c r="A9" s="43" t="s">
        <v>396</v>
      </c>
      <c r="B9" s="51" t="s">
        <v>397</v>
      </c>
      <c r="C9" s="47" t="s">
        <v>382</v>
      </c>
      <c r="D9" s="15" t="s">
        <v>398</v>
      </c>
      <c r="E9" s="53" t="s">
        <v>395</v>
      </c>
    </row>
    <row r="10" customFormat="false" ht="31.5" hidden="false" customHeight="true" outlineLevel="0" collapsed="false">
      <c r="A10" s="43" t="s">
        <v>136</v>
      </c>
      <c r="B10" s="51" t="s">
        <v>399</v>
      </c>
      <c r="C10" s="47" t="s">
        <v>400</v>
      </c>
      <c r="D10" s="15" t="s">
        <v>401</v>
      </c>
      <c r="E10" s="54" t="s">
        <v>402</v>
      </c>
    </row>
    <row r="11" customFormat="false" ht="31.5" hidden="false" customHeight="true" outlineLevel="0" collapsed="false">
      <c r="A11" s="43" t="s">
        <v>133</v>
      </c>
      <c r="B11" s="51" t="s">
        <v>403</v>
      </c>
      <c r="C11" s="47" t="s">
        <v>400</v>
      </c>
      <c r="D11" s="15" t="s">
        <v>404</v>
      </c>
      <c r="E11" s="54" t="s">
        <v>402</v>
      </c>
    </row>
    <row r="12" customFormat="false" ht="31.5" hidden="false" customHeight="true" outlineLevel="0" collapsed="false">
      <c r="A12" s="43" t="s">
        <v>405</v>
      </c>
      <c r="B12" s="51" t="s">
        <v>406</v>
      </c>
      <c r="C12" s="47" t="s">
        <v>400</v>
      </c>
      <c r="D12" s="15" t="s">
        <v>407</v>
      </c>
      <c r="E12" s="54" t="s">
        <v>402</v>
      </c>
    </row>
    <row r="13" customFormat="false" ht="31.5" hidden="false" customHeight="true" outlineLevel="0" collapsed="false">
      <c r="A13" s="43" t="s">
        <v>119</v>
      </c>
      <c r="B13" s="51" t="s">
        <v>408</v>
      </c>
      <c r="C13" s="47" t="s">
        <v>400</v>
      </c>
      <c r="D13" s="15" t="s">
        <v>409</v>
      </c>
      <c r="E13" s="54" t="s">
        <v>402</v>
      </c>
    </row>
    <row r="14" customFormat="false" ht="31.5" hidden="false" customHeight="true" outlineLevel="0" collapsed="false">
      <c r="A14" s="43" t="s">
        <v>410</v>
      </c>
      <c r="B14" s="51" t="s">
        <v>411</v>
      </c>
      <c r="C14" s="47" t="s">
        <v>400</v>
      </c>
      <c r="D14" s="15" t="s">
        <v>412</v>
      </c>
      <c r="E14" s="54" t="s">
        <v>402</v>
      </c>
    </row>
    <row r="15" customFormat="false" ht="31.5" hidden="false" customHeight="true" outlineLevel="0" collapsed="false">
      <c r="A15" s="43" t="s">
        <v>413</v>
      </c>
      <c r="B15" s="51" t="s">
        <v>414</v>
      </c>
      <c r="C15" s="47" t="s">
        <v>400</v>
      </c>
      <c r="D15" s="15" t="s">
        <v>415</v>
      </c>
      <c r="E15" s="54" t="s">
        <v>402</v>
      </c>
    </row>
    <row r="16" customFormat="false" ht="31.5" hidden="false" customHeight="true" outlineLevel="0" collapsed="false">
      <c r="A16" s="43" t="s">
        <v>416</v>
      </c>
      <c r="B16" s="51" t="s">
        <v>417</v>
      </c>
      <c r="C16" s="47" t="s">
        <v>382</v>
      </c>
      <c r="D16" s="15" t="s">
        <v>418</v>
      </c>
      <c r="E16" s="52" t="s">
        <v>384</v>
      </c>
    </row>
    <row r="17" customFormat="false" ht="31.5" hidden="false" customHeight="true" outlineLevel="0" collapsed="false">
      <c r="A17" s="43" t="s">
        <v>419</v>
      </c>
      <c r="B17" s="51" t="s">
        <v>420</v>
      </c>
      <c r="C17" s="47" t="s">
        <v>400</v>
      </c>
      <c r="D17" s="15" t="s">
        <v>421</v>
      </c>
      <c r="E17" s="54" t="s">
        <v>402</v>
      </c>
    </row>
    <row r="18" customFormat="false" ht="31.5" hidden="false" customHeight="true" outlineLevel="0" collapsed="false">
      <c r="A18" s="43" t="s">
        <v>93</v>
      </c>
      <c r="B18" s="51" t="s">
        <v>422</v>
      </c>
      <c r="C18" s="47" t="s">
        <v>400</v>
      </c>
      <c r="D18" s="15" t="s">
        <v>423</v>
      </c>
      <c r="E18" s="52" t="s">
        <v>424</v>
      </c>
    </row>
    <row r="19" customFormat="false" ht="31.5" hidden="false" customHeight="true" outlineLevel="0" collapsed="false">
      <c r="A19" s="43" t="s">
        <v>425</v>
      </c>
      <c r="B19" s="51" t="s">
        <v>426</v>
      </c>
      <c r="C19" s="47" t="s">
        <v>400</v>
      </c>
      <c r="D19" s="15" t="s">
        <v>427</v>
      </c>
      <c r="E19" s="52" t="s">
        <v>428</v>
      </c>
    </row>
    <row r="20" customFormat="false" ht="31.5" hidden="false" customHeight="true" outlineLevel="0" collapsed="false">
      <c r="A20" s="43" t="s">
        <v>429</v>
      </c>
      <c r="B20" s="51" t="s">
        <v>430</v>
      </c>
      <c r="C20" s="47" t="s">
        <v>400</v>
      </c>
      <c r="D20" s="15" t="s">
        <v>431</v>
      </c>
      <c r="E20" s="54" t="s">
        <v>432</v>
      </c>
    </row>
    <row r="21" customFormat="false" ht="31.5" hidden="false" customHeight="true" outlineLevel="0" collapsed="false">
      <c r="A21" s="43" t="s">
        <v>433</v>
      </c>
      <c r="B21" s="51" t="s">
        <v>434</v>
      </c>
      <c r="C21" s="47" t="s">
        <v>400</v>
      </c>
      <c r="D21" s="15" t="s">
        <v>435</v>
      </c>
      <c r="E21" s="52" t="s">
        <v>428</v>
      </c>
    </row>
    <row r="22" customFormat="false" ht="31.5" hidden="false" customHeight="true" outlineLevel="0" collapsed="false">
      <c r="A22" s="43" t="s">
        <v>436</v>
      </c>
      <c r="B22" s="51" t="s">
        <v>437</v>
      </c>
      <c r="C22" s="47" t="s">
        <v>400</v>
      </c>
      <c r="D22" s="15" t="s">
        <v>438</v>
      </c>
      <c r="E22" s="54" t="s">
        <v>402</v>
      </c>
    </row>
    <row r="23" customFormat="false" ht="31.5" hidden="false" customHeight="true" outlineLevel="0" collapsed="false">
      <c r="A23" s="43" t="s">
        <v>143</v>
      </c>
      <c r="B23" s="51" t="s">
        <v>439</v>
      </c>
      <c r="C23" s="47" t="s">
        <v>382</v>
      </c>
      <c r="D23" s="15" t="s">
        <v>440</v>
      </c>
      <c r="E23" s="53" t="s">
        <v>441</v>
      </c>
    </row>
    <row r="24" customFormat="false" ht="31.5" hidden="false" customHeight="true" outlineLevel="0" collapsed="false">
      <c r="A24" s="43" t="s">
        <v>442</v>
      </c>
      <c r="B24" s="51" t="s">
        <v>443</v>
      </c>
      <c r="C24" s="47" t="s">
        <v>382</v>
      </c>
      <c r="D24" s="15" t="s">
        <v>444</v>
      </c>
      <c r="E24" s="53" t="s">
        <v>445</v>
      </c>
    </row>
    <row r="26" customFormat="false" ht="49.5" hidden="false" customHeight="true" outlineLevel="0" collapsed="false">
      <c r="A26" s="28" t="s">
        <v>446</v>
      </c>
      <c r="B26" s="28"/>
      <c r="C26" s="28"/>
      <c r="D26" s="28"/>
      <c r="E26" s="28"/>
    </row>
  </sheetData>
  <mergeCells count="1">
    <mergeCell ref="A26:E26"/>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Chokro Budget Plan · Sources&amp;R&amp;8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2026-09-02T11:35:19Z</dcterms:created>
  <dc:creator>openpyxl</dc:creator>
  <dc:description/>
  <dc:language>en-US</dc:language>
  <cp:lastModifiedBy/>
  <dcterms:modified xsi:type="dcterms:W3CDTF">2026-09-02T11:35:19Z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